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49" fontId="4" fillId="0" borderId="0" applyAlignment="1" pivotButton="0" quotePrefix="0" xfId="0">
      <alignment horizontal="center" vertical="center"/>
    </xf>
    <xf numFmtId="164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3" borderId="0" pivotButton="0" quotePrefix="0" xfId="0"/>
    <xf numFmtId="49" fontId="6" fillId="3" borderId="0" applyAlignment="1" pivotButton="0" quotePrefix="0" xfId="0">
      <alignment horizontal="center" vertical="center"/>
    </xf>
    <xf numFmtId="164" fontId="6" fillId="3" borderId="0" pivotButton="0" quotePrefix="0" xfId="0"/>
    <xf numFmtId="165" fontId="6" fillId="3" borderId="0" pivotButton="0" quotePrefix="0" xfId="0"/>
    <xf numFmtId="0" fontId="6" fillId="4" borderId="0" pivotButton="0" quotePrefix="0" xfId="0"/>
    <xf numFmtId="49" fontId="6" fillId="4" borderId="0" applyAlignment="1" pivotButton="0" quotePrefix="0" xfId="0">
      <alignment horizontal="center" vertical="center"/>
    </xf>
    <xf numFmtId="164" fontId="6" fillId="4" borderId="0" pivotButton="0" quotePrefix="0" xfId="0"/>
    <xf numFmtId="165" fontId="6" fillId="4" borderId="0" pivotButton="0" quotePrefix="0" xfId="0"/>
    <xf numFmtId="0" fontId="6" fillId="5" borderId="0" pivotButton="0" quotePrefix="0" xfId="0"/>
    <xf numFmtId="49" fontId="6" fillId="5" borderId="0" applyAlignment="1" pivotButton="0" quotePrefix="0" xfId="0">
      <alignment horizontal="center" vertical="center"/>
    </xf>
    <xf numFmtId="164" fontId="6" fillId="5" borderId="0" pivotButton="0" quotePrefix="0" xfId="0"/>
    <xf numFmtId="165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7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1" t="inlineStr">
        <is>
          <t>IMARAT FINE DINING — Statement of Profit &amp; Loss (Monthly)</t>
        </is>
      </c>
    </row>
    <row r="2">
      <c r="A2" s="2" t="inlineStr">
        <is>
          <t>All figures in PKR  |  Blue cells are for typing into — everything else is a formula.  Leave a future month blank (not zero) until its figures are known.</t>
        </is>
      </c>
    </row>
    <row r="3">
      <c r="A3" s="3" t="inlineStr">
        <is>
          <t>Line Item</t>
        </is>
      </c>
      <c r="B3" s="3" t="inlineStr">
        <is>
          <t>Ref</t>
        </is>
      </c>
      <c r="C3" s="3" t="inlineStr">
        <is>
          <t>Mar-26</t>
        </is>
      </c>
      <c r="D3" s="3" t="inlineStr">
        <is>
          <t>Apr-26</t>
        </is>
      </c>
      <c r="E3" s="3" t="inlineStr">
        <is>
          <t>May-26</t>
        </is>
      </c>
      <c r="F3" s="3" t="inlineStr">
        <is>
          <t>Jun-26</t>
        </is>
      </c>
      <c r="G3" s="3" t="inlineStr">
        <is>
          <t>Jul-26</t>
        </is>
      </c>
      <c r="H3" s="3" t="inlineStr">
        <is>
          <t>Aug-26</t>
        </is>
      </c>
      <c r="I3" s="3" t="inlineStr">
        <is>
          <t>Sep-26</t>
        </is>
      </c>
      <c r="J3" s="3" t="inlineStr">
        <is>
          <t>Oct-26</t>
        </is>
      </c>
      <c r="K3" s="3" t="inlineStr">
        <is>
          <t>Nov-26</t>
        </is>
      </c>
      <c r="L3" s="3" t="inlineStr">
        <is>
          <t>Dec-26</t>
        </is>
      </c>
      <c r="M3" s="3" t="inlineStr">
        <is>
          <t>Jan-27</t>
        </is>
      </c>
      <c r="N3" s="3" t="inlineStr">
        <is>
          <t>Feb-27</t>
        </is>
      </c>
      <c r="O3" s="3" t="inlineStr">
        <is>
          <t>Mar-27</t>
        </is>
      </c>
      <c r="P3" s="3" t="inlineStr">
        <is>
          <t>Apr-27</t>
        </is>
      </c>
      <c r="Q3" s="3" t="inlineStr">
        <is>
          <t>May-27</t>
        </is>
      </c>
      <c r="R3" s="3" t="inlineStr">
        <is>
          <t>Jun-27</t>
        </is>
      </c>
      <c r="S3" s="3" t="inlineStr">
        <is>
          <t>Total (16M)</t>
        </is>
      </c>
      <c r="T3" s="3" t="inlineStr">
        <is>
          <t>Mar-26 %</t>
        </is>
      </c>
      <c r="U3" s="3" t="inlineStr">
        <is>
          <t>Apr-26 %</t>
        </is>
      </c>
      <c r="V3" s="3" t="inlineStr">
        <is>
          <t>May-26 %</t>
        </is>
      </c>
      <c r="W3" s="3" t="inlineStr">
        <is>
          <t>Jun-26 %</t>
        </is>
      </c>
      <c r="X3" s="3" t="inlineStr">
        <is>
          <t>Jul-26 %</t>
        </is>
      </c>
      <c r="Y3" s="3" t="inlineStr">
        <is>
          <t>Aug-26 %</t>
        </is>
      </c>
      <c r="Z3" s="3" t="inlineStr">
        <is>
          <t>Sep-26 %</t>
        </is>
      </c>
      <c r="AA3" s="3" t="inlineStr">
        <is>
          <t>Oct-26 %</t>
        </is>
      </c>
      <c r="AB3" s="3" t="inlineStr">
        <is>
          <t>Nov-26 %</t>
        </is>
      </c>
      <c r="AC3" s="3" t="inlineStr">
        <is>
          <t>Dec-26 %</t>
        </is>
      </c>
      <c r="AD3" s="3" t="inlineStr">
        <is>
          <t>Jan-27 %</t>
        </is>
      </c>
      <c r="AE3" s="3" t="inlineStr">
        <is>
          <t>Feb-27 %</t>
        </is>
      </c>
      <c r="AF3" s="3" t="inlineStr">
        <is>
          <t>Mar-27 %</t>
        </is>
      </c>
      <c r="AG3" s="3" t="inlineStr">
        <is>
          <t>Apr-27 %</t>
        </is>
      </c>
      <c r="AH3" s="3" t="inlineStr">
        <is>
          <t>May-27 %</t>
        </is>
      </c>
      <c r="AI3" s="3" t="inlineStr">
        <is>
          <t>Jun-27 %</t>
        </is>
      </c>
    </row>
    <row r="4">
      <c r="A4" s="4" t="inlineStr">
        <is>
          <t>REVENUE</t>
        </is>
      </c>
    </row>
    <row r="5">
      <c r="A5" s="5" t="inlineStr">
        <is>
          <t xml:space="preserve">   Food Revenues</t>
        </is>
      </c>
      <c r="B5" s="6" t="inlineStr">
        <is>
          <t>1.1</t>
        </is>
      </c>
      <c r="C5" s="7" t="n">
        <v>69608774</v>
      </c>
      <c r="D5" s="7" t="n">
        <v>123684061</v>
      </c>
      <c r="E5" s="7" t="n">
        <v>125217734.8</v>
      </c>
      <c r="F5" s="7" t="n">
        <v>117460114.85</v>
      </c>
      <c r="G5" s="7" t="n">
        <v>132465169.75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>
        <f>IF(COUNT(C5:R5)=0,"",SUM(C5:R5))</f>
        <v/>
      </c>
      <c r="T5" s="9">
        <f>IF(OR(C$9="",C5=""),"",C5/C$9)</f>
        <v/>
      </c>
      <c r="U5" s="9">
        <f>IF(OR(D$9="",D5=""),"",D5/D$9)</f>
        <v/>
      </c>
      <c r="V5" s="9">
        <f>IF(OR(E$9="",E5=""),"",E5/E$9)</f>
        <v/>
      </c>
      <c r="W5" s="9">
        <f>IF(OR(F$9="",F5=""),"",F5/F$9)</f>
        <v/>
      </c>
      <c r="X5" s="9">
        <f>IF(OR(G$9="",G5=""),"",G5/G$9)</f>
        <v/>
      </c>
      <c r="Y5" s="9">
        <f>IF(OR(H$9="",H5=""),"",H5/H$9)</f>
        <v/>
      </c>
      <c r="Z5" s="9">
        <f>IF(OR(I$9="",I5=""),"",I5/I$9)</f>
        <v/>
      </c>
      <c r="AA5" s="9">
        <f>IF(OR(J$9="",J5=""),"",J5/J$9)</f>
        <v/>
      </c>
      <c r="AB5" s="9">
        <f>IF(OR(K$9="",K5=""),"",K5/K$9)</f>
        <v/>
      </c>
      <c r="AC5" s="9">
        <f>IF(OR(L$9="",L5=""),"",L5/L$9)</f>
        <v/>
      </c>
      <c r="AD5" s="9">
        <f>IF(OR(M$9="",M5=""),"",M5/M$9)</f>
        <v/>
      </c>
      <c r="AE5" s="9">
        <f>IF(OR(N$9="",N5=""),"",N5/N$9)</f>
        <v/>
      </c>
      <c r="AF5" s="9">
        <f>IF(OR(O$9="",O5=""),"",O5/O$9)</f>
        <v/>
      </c>
      <c r="AG5" s="9">
        <f>IF(OR(P$9="",P5=""),"",P5/P$9)</f>
        <v/>
      </c>
      <c r="AH5" s="9">
        <f>IF(OR(Q$9="",Q5=""),"",Q5/Q$9)</f>
        <v/>
      </c>
      <c r="AI5" s="9">
        <f>IF(OR(R$9="",R5=""),"",R5/R$9)</f>
        <v/>
      </c>
    </row>
    <row r="6">
      <c r="A6" s="5" t="inlineStr">
        <is>
          <t xml:space="preserve">   Non Food Revenues</t>
        </is>
      </c>
      <c r="B6" s="6" t="inlineStr">
        <is>
          <t>1.2</t>
        </is>
      </c>
      <c r="C6" s="7" t="n">
        <v>0</v>
      </c>
      <c r="D6" s="7" t="n">
        <v>0</v>
      </c>
      <c r="E6" s="7" t="n">
        <v>113050</v>
      </c>
      <c r="F6" s="7" t="n">
        <v>436800</v>
      </c>
      <c r="G6" s="7" t="n">
        <v>807246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>
        <f>IF(COUNT(C6:R6)=0,"",SUM(C6:R6))</f>
        <v/>
      </c>
      <c r="T6" s="9">
        <f>IF(OR(C$9="",C6=""),"",C6/C$9)</f>
        <v/>
      </c>
      <c r="U6" s="9">
        <f>IF(OR(D$9="",D6=""),"",D6/D$9)</f>
        <v/>
      </c>
      <c r="V6" s="9">
        <f>IF(OR(E$9="",E6=""),"",E6/E$9)</f>
        <v/>
      </c>
      <c r="W6" s="9">
        <f>IF(OR(F$9="",F6=""),"",F6/F$9)</f>
        <v/>
      </c>
      <c r="X6" s="9">
        <f>IF(OR(G$9="",G6=""),"",G6/G$9)</f>
        <v/>
      </c>
      <c r="Y6" s="9">
        <f>IF(OR(H$9="",H6=""),"",H6/H$9)</f>
        <v/>
      </c>
      <c r="Z6" s="9">
        <f>IF(OR(I$9="",I6=""),"",I6/I$9)</f>
        <v/>
      </c>
      <c r="AA6" s="9">
        <f>IF(OR(J$9="",J6=""),"",J6/J$9)</f>
        <v/>
      </c>
      <c r="AB6" s="9">
        <f>IF(OR(K$9="",K6=""),"",K6/K$9)</f>
        <v/>
      </c>
      <c r="AC6" s="9">
        <f>IF(OR(L$9="",L6=""),"",L6/L$9)</f>
        <v/>
      </c>
      <c r="AD6" s="9">
        <f>IF(OR(M$9="",M6=""),"",M6/M$9)</f>
        <v/>
      </c>
      <c r="AE6" s="9">
        <f>IF(OR(N$9="",N6=""),"",N6/N$9)</f>
        <v/>
      </c>
      <c r="AF6" s="9">
        <f>IF(OR(O$9="",O6=""),"",O6/O$9)</f>
        <v/>
      </c>
      <c r="AG6" s="9">
        <f>IF(OR(P$9="",P6=""),"",P6/P$9)</f>
        <v/>
      </c>
      <c r="AH6" s="9">
        <f>IF(OR(Q$9="",Q6=""),"",Q6/Q$9)</f>
        <v/>
      </c>
      <c r="AI6" s="9">
        <f>IF(OR(R$9="",R6=""),"",R6/R$9)</f>
        <v/>
      </c>
    </row>
    <row r="7">
      <c r="A7" s="5" t="inlineStr">
        <is>
          <t xml:space="preserve">   Other Income</t>
        </is>
      </c>
      <c r="B7" s="6" t="inlineStr">
        <is>
          <t>1.3</t>
        </is>
      </c>
      <c r="C7" s="7" t="n">
        <v>366756</v>
      </c>
      <c r="D7" s="7" t="n">
        <v>3072281</v>
      </c>
      <c r="E7" s="7" t="n">
        <v>2649829.59</v>
      </c>
      <c r="F7" s="7" t="n">
        <v>2584228.39</v>
      </c>
      <c r="G7" s="7" t="n">
        <v>2782187.64</v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>
        <f>IF(COUNT(C7:R7)=0,"",SUM(C7:R7))</f>
        <v/>
      </c>
      <c r="T7" s="9">
        <f>IF(OR(C$9="",C7=""),"",C7/C$9)</f>
        <v/>
      </c>
      <c r="U7" s="9">
        <f>IF(OR(D$9="",D7=""),"",D7/D$9)</f>
        <v/>
      </c>
      <c r="V7" s="9">
        <f>IF(OR(E$9="",E7=""),"",E7/E$9)</f>
        <v/>
      </c>
      <c r="W7" s="9">
        <f>IF(OR(F$9="",F7=""),"",F7/F$9)</f>
        <v/>
      </c>
      <c r="X7" s="9">
        <f>IF(OR(G$9="",G7=""),"",G7/G$9)</f>
        <v/>
      </c>
      <c r="Y7" s="9">
        <f>IF(OR(H$9="",H7=""),"",H7/H$9)</f>
        <v/>
      </c>
      <c r="Z7" s="9">
        <f>IF(OR(I$9="",I7=""),"",I7/I$9)</f>
        <v/>
      </c>
      <c r="AA7" s="9">
        <f>IF(OR(J$9="",J7=""),"",J7/J$9)</f>
        <v/>
      </c>
      <c r="AB7" s="9">
        <f>IF(OR(K$9="",K7=""),"",K7/K$9)</f>
        <v/>
      </c>
      <c r="AC7" s="9">
        <f>IF(OR(L$9="",L7=""),"",L7/L$9)</f>
        <v/>
      </c>
      <c r="AD7" s="9">
        <f>IF(OR(M$9="",M7=""),"",M7/M$9)</f>
        <v/>
      </c>
      <c r="AE7" s="9">
        <f>IF(OR(N$9="",N7=""),"",N7/N$9)</f>
        <v/>
      </c>
      <c r="AF7" s="9">
        <f>IF(OR(O$9="",O7=""),"",O7/O$9)</f>
        <v/>
      </c>
      <c r="AG7" s="9">
        <f>IF(OR(P$9="",P7=""),"",P7/P$9)</f>
        <v/>
      </c>
      <c r="AH7" s="9">
        <f>IF(OR(Q$9="",Q7=""),"",Q7/Q$9)</f>
        <v/>
      </c>
      <c r="AI7" s="9">
        <f>IF(OR(R$9="",R7=""),"",R7/R$9)</f>
        <v/>
      </c>
    </row>
    <row r="8">
      <c r="A8" s="5" t="inlineStr">
        <is>
          <t xml:space="preserve">   Sale Discount &amp; Protocol</t>
        </is>
      </c>
      <c r="B8" s="6" t="inlineStr">
        <is>
          <t>1.4</t>
        </is>
      </c>
      <c r="C8" s="7" t="n">
        <v>-1720120</v>
      </c>
      <c r="D8" s="7" t="n">
        <v>-1441406</v>
      </c>
      <c r="E8" s="7" t="n">
        <v>-1612915.4</v>
      </c>
      <c r="F8" s="7" t="n">
        <v>-1478590</v>
      </c>
      <c r="G8" s="7" t="n">
        <v>-1593576.55</v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>
        <f>IF(COUNT(C8:R8)=0,"",SUM(C8:R8))</f>
        <v/>
      </c>
      <c r="T8" s="9">
        <f>IF(OR(C$9="",C8=""),"",C8/C$9)</f>
        <v/>
      </c>
      <c r="U8" s="9">
        <f>IF(OR(D$9="",D8=""),"",D8/D$9)</f>
        <v/>
      </c>
      <c r="V8" s="9">
        <f>IF(OR(E$9="",E8=""),"",E8/E$9)</f>
        <v/>
      </c>
      <c r="W8" s="9">
        <f>IF(OR(F$9="",F8=""),"",F8/F$9)</f>
        <v/>
      </c>
      <c r="X8" s="9">
        <f>IF(OR(G$9="",G8=""),"",G8/G$9)</f>
        <v/>
      </c>
      <c r="Y8" s="9">
        <f>IF(OR(H$9="",H8=""),"",H8/H$9)</f>
        <v/>
      </c>
      <c r="Z8" s="9">
        <f>IF(OR(I$9="",I8=""),"",I8/I$9)</f>
        <v/>
      </c>
      <c r="AA8" s="9">
        <f>IF(OR(J$9="",J8=""),"",J8/J$9)</f>
        <v/>
      </c>
      <c r="AB8" s="9">
        <f>IF(OR(K$9="",K8=""),"",K8/K$9)</f>
        <v/>
      </c>
      <c r="AC8" s="9">
        <f>IF(OR(L$9="",L8=""),"",L8/L$9)</f>
        <v/>
      </c>
      <c r="AD8" s="9">
        <f>IF(OR(M$9="",M8=""),"",M8/M$9)</f>
        <v/>
      </c>
      <c r="AE8" s="9">
        <f>IF(OR(N$9="",N8=""),"",N8/N$9)</f>
        <v/>
      </c>
      <c r="AF8" s="9">
        <f>IF(OR(O$9="",O8=""),"",O8/O$9)</f>
        <v/>
      </c>
      <c r="AG8" s="9">
        <f>IF(OR(P$9="",P8=""),"",P8/P$9)</f>
        <v/>
      </c>
      <c r="AH8" s="9">
        <f>IF(OR(Q$9="",Q8=""),"",Q8/Q$9)</f>
        <v/>
      </c>
      <c r="AI8" s="9">
        <f>IF(OR(R$9="",R8=""),"",R8/R$9)</f>
        <v/>
      </c>
    </row>
    <row r="9">
      <c r="A9" s="10" t="inlineStr">
        <is>
          <t>Total Revenue</t>
        </is>
      </c>
      <c r="B9" s="11" t="inlineStr">
        <is>
          <t>1</t>
        </is>
      </c>
      <c r="C9" s="12">
        <f>IF(COUNT(C5:C8)=0,"",SUM(C5:C8))</f>
        <v/>
      </c>
      <c r="D9" s="12">
        <f>IF(COUNT(D5:D8)=0,"",SUM(D5:D8))</f>
        <v/>
      </c>
      <c r="E9" s="12">
        <f>IF(COUNT(E5:E8)=0,"",SUM(E5:E8))</f>
        <v/>
      </c>
      <c r="F9" s="12">
        <f>IF(COUNT(F5:F8)=0,"",SUM(F5:F8))</f>
        <v/>
      </c>
      <c r="G9" s="12">
        <f>IF(COUNT(G5:G8)=0,"",SUM(G5:G8))</f>
        <v/>
      </c>
      <c r="H9" s="12">
        <f>IF(COUNT(H5:H8)=0,"",SUM(H5:H8))</f>
        <v/>
      </c>
      <c r="I9" s="12">
        <f>IF(COUNT(I5:I8)=0,"",SUM(I5:I8))</f>
        <v/>
      </c>
      <c r="J9" s="12">
        <f>IF(COUNT(J5:J8)=0,"",SUM(J5:J8))</f>
        <v/>
      </c>
      <c r="K9" s="12">
        <f>IF(COUNT(K5:K8)=0,"",SUM(K5:K8))</f>
        <v/>
      </c>
      <c r="L9" s="12">
        <f>IF(COUNT(L5:L8)=0,"",SUM(L5:L8))</f>
        <v/>
      </c>
      <c r="M9" s="12">
        <f>IF(COUNT(M5:M8)=0,"",SUM(M5:M8))</f>
        <v/>
      </c>
      <c r="N9" s="12">
        <f>IF(COUNT(N5:N8)=0,"",SUM(N5:N8))</f>
        <v/>
      </c>
      <c r="O9" s="12">
        <f>IF(COUNT(O5:O8)=0,"",SUM(O5:O8))</f>
        <v/>
      </c>
      <c r="P9" s="12">
        <f>IF(COUNT(P5:P8)=0,"",SUM(P5:P8))</f>
        <v/>
      </c>
      <c r="Q9" s="12">
        <f>IF(COUNT(Q5:Q8)=0,"",SUM(Q5:Q8))</f>
        <v/>
      </c>
      <c r="R9" s="12">
        <f>IF(COUNT(R5:R8)=0,"",SUM(R5:R8))</f>
        <v/>
      </c>
      <c r="S9" s="12">
        <f>IF(COUNT(C9:R9)=0,"",SUM(C9:R9))</f>
        <v/>
      </c>
      <c r="T9" s="13">
        <f>IF(OR(C$9="",C9=""),"",C9/C$9)</f>
        <v/>
      </c>
      <c r="U9" s="13">
        <f>IF(OR(D$9="",D9=""),"",D9/D$9)</f>
        <v/>
      </c>
      <c r="V9" s="13">
        <f>IF(OR(E$9="",E9=""),"",E9/E$9)</f>
        <v/>
      </c>
      <c r="W9" s="13">
        <f>IF(OR(F$9="",F9=""),"",F9/F$9)</f>
        <v/>
      </c>
      <c r="X9" s="13">
        <f>IF(OR(G$9="",G9=""),"",G9/G$9)</f>
        <v/>
      </c>
      <c r="Y9" s="13">
        <f>IF(OR(H$9="",H9=""),"",H9/H$9)</f>
        <v/>
      </c>
      <c r="Z9" s="13">
        <f>IF(OR(I$9="",I9=""),"",I9/I$9)</f>
        <v/>
      </c>
      <c r="AA9" s="13">
        <f>IF(OR(J$9="",J9=""),"",J9/J$9)</f>
        <v/>
      </c>
      <c r="AB9" s="13">
        <f>IF(OR(K$9="",K9=""),"",K9/K$9)</f>
        <v/>
      </c>
      <c r="AC9" s="13">
        <f>IF(OR(L$9="",L9=""),"",L9/L$9)</f>
        <v/>
      </c>
      <c r="AD9" s="13">
        <f>IF(OR(M$9="",M9=""),"",M9/M$9)</f>
        <v/>
      </c>
      <c r="AE9" s="13">
        <f>IF(OR(N$9="",N9=""),"",N9/N$9)</f>
        <v/>
      </c>
      <c r="AF9" s="13">
        <f>IF(OR(O$9="",O9=""),"",O9/O$9)</f>
        <v/>
      </c>
      <c r="AG9" s="13">
        <f>IF(OR(P$9="",P9=""),"",P9/P$9)</f>
        <v/>
      </c>
      <c r="AH9" s="13">
        <f>IF(OR(Q$9="",Q9=""),"",Q9/Q$9)</f>
        <v/>
      </c>
      <c r="AI9" s="13">
        <f>IF(OR(R$9="",R9=""),"",R9/R$9)</f>
        <v/>
      </c>
    </row>
    <row r="10"/>
    <row r="11">
      <c r="A11" s="4" t="inlineStr">
        <is>
          <t>COST OF GOODS SOLD (COGS)</t>
        </is>
      </c>
    </row>
    <row r="12">
      <c r="A12" s="5" t="inlineStr">
        <is>
          <t xml:space="preserve">   Material Consumption Food Sale</t>
        </is>
      </c>
      <c r="B12" s="6" t="inlineStr">
        <is>
          <t>2.1</t>
        </is>
      </c>
      <c r="C12" s="7" t="n">
        <v>26246685</v>
      </c>
      <c r="D12" s="7" t="n">
        <v>39419168</v>
      </c>
      <c r="E12" s="7" t="n">
        <v>42336991.34</v>
      </c>
      <c r="F12" s="7" t="n">
        <v>37567531.92</v>
      </c>
      <c r="G12" s="7" t="n">
        <v>44167606.68</v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>
        <f>IF(COUNT(C12:R12)=0,"",SUM(C12:R12))</f>
        <v/>
      </c>
      <c r="T12" s="9">
        <f>IF(OR(C$9="",C12=""),"",C12/C$9)</f>
        <v/>
      </c>
      <c r="U12" s="9">
        <f>IF(OR(D$9="",D12=""),"",D12/D$9)</f>
        <v/>
      </c>
      <c r="V12" s="9">
        <f>IF(OR(E$9="",E12=""),"",E12/E$9)</f>
        <v/>
      </c>
      <c r="W12" s="9">
        <f>IF(OR(F$9="",F12=""),"",F12/F$9)</f>
        <v/>
      </c>
      <c r="X12" s="9">
        <f>IF(OR(G$9="",G12=""),"",G12/G$9)</f>
        <v/>
      </c>
      <c r="Y12" s="9">
        <f>IF(OR(H$9="",H12=""),"",H12/H$9)</f>
        <v/>
      </c>
      <c r="Z12" s="9">
        <f>IF(OR(I$9="",I12=""),"",I12/I$9)</f>
        <v/>
      </c>
      <c r="AA12" s="9">
        <f>IF(OR(J$9="",J12=""),"",J12/J$9)</f>
        <v/>
      </c>
      <c r="AB12" s="9">
        <f>IF(OR(K$9="",K12=""),"",K12/K$9)</f>
        <v/>
      </c>
      <c r="AC12" s="9">
        <f>IF(OR(L$9="",L12=""),"",L12/L$9)</f>
        <v/>
      </c>
      <c r="AD12" s="9">
        <f>IF(OR(M$9="",M12=""),"",M12/M$9)</f>
        <v/>
      </c>
      <c r="AE12" s="9">
        <f>IF(OR(N$9="",N12=""),"",N12/N$9)</f>
        <v/>
      </c>
      <c r="AF12" s="9">
        <f>IF(OR(O$9="",O12=""),"",O12/O$9)</f>
        <v/>
      </c>
      <c r="AG12" s="9">
        <f>IF(OR(P$9="",P12=""),"",P12/P$9)</f>
        <v/>
      </c>
      <c r="AH12" s="9">
        <f>IF(OR(Q$9="",Q12=""),"",Q12/Q$9)</f>
        <v/>
      </c>
      <c r="AI12" s="9">
        <f>IF(OR(R$9="",R12=""),"",R12/R$9)</f>
        <v/>
      </c>
    </row>
    <row r="13">
      <c r="A13" s="5" t="inlineStr">
        <is>
          <t xml:space="preserve">   Store Consumed</t>
        </is>
      </c>
      <c r="B13" s="6" t="inlineStr">
        <is>
          <t>2.2</t>
        </is>
      </c>
      <c r="C13" s="7" t="n">
        <v>516805</v>
      </c>
      <c r="D13" s="7" t="n">
        <v>1164521</v>
      </c>
      <c r="E13" s="7" t="n">
        <v>1195258.61</v>
      </c>
      <c r="F13" s="7" t="n">
        <v>1111224.62</v>
      </c>
      <c r="G13" s="7" t="n">
        <v>1519905.16</v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>
        <f>IF(COUNT(C13:R13)=0,"",SUM(C13:R13))</f>
        <v/>
      </c>
      <c r="T13" s="9">
        <f>IF(OR(C$9="",C13=""),"",C13/C$9)</f>
        <v/>
      </c>
      <c r="U13" s="9">
        <f>IF(OR(D$9="",D13=""),"",D13/D$9)</f>
        <v/>
      </c>
      <c r="V13" s="9">
        <f>IF(OR(E$9="",E13=""),"",E13/E$9)</f>
        <v/>
      </c>
      <c r="W13" s="9">
        <f>IF(OR(F$9="",F13=""),"",F13/F$9)</f>
        <v/>
      </c>
      <c r="X13" s="9">
        <f>IF(OR(G$9="",G13=""),"",G13/G$9)</f>
        <v/>
      </c>
      <c r="Y13" s="9">
        <f>IF(OR(H$9="",H13=""),"",H13/H$9)</f>
        <v/>
      </c>
      <c r="Z13" s="9">
        <f>IF(OR(I$9="",I13=""),"",I13/I$9)</f>
        <v/>
      </c>
      <c r="AA13" s="9">
        <f>IF(OR(J$9="",J13=""),"",J13/J$9)</f>
        <v/>
      </c>
      <c r="AB13" s="9">
        <f>IF(OR(K$9="",K13=""),"",K13/K$9)</f>
        <v/>
      </c>
      <c r="AC13" s="9">
        <f>IF(OR(L$9="",L13=""),"",L13/L$9)</f>
        <v/>
      </c>
      <c r="AD13" s="9">
        <f>IF(OR(M$9="",M13=""),"",M13/M$9)</f>
        <v/>
      </c>
      <c r="AE13" s="9">
        <f>IF(OR(N$9="",N13=""),"",N13/N$9)</f>
        <v/>
      </c>
      <c r="AF13" s="9">
        <f>IF(OR(O$9="",O13=""),"",O13/O$9)</f>
        <v/>
      </c>
      <c r="AG13" s="9">
        <f>IF(OR(P$9="",P13=""),"",P13/P$9)</f>
        <v/>
      </c>
      <c r="AH13" s="9">
        <f>IF(OR(Q$9="",Q13=""),"",Q13/Q$9)</f>
        <v/>
      </c>
      <c r="AI13" s="9">
        <f>IF(OR(R$9="",R13=""),"",R13/R$9)</f>
        <v/>
      </c>
    </row>
    <row r="14">
      <c r="A14" s="5" t="inlineStr">
        <is>
          <t xml:space="preserve">   Fuel,Power &amp; Utilities</t>
        </is>
      </c>
      <c r="B14" s="6" t="inlineStr">
        <is>
          <t>2.3</t>
        </is>
      </c>
      <c r="C14" s="7" t="n">
        <v>1510779</v>
      </c>
      <c r="D14" s="7" t="n">
        <v>7157878</v>
      </c>
      <c r="E14" s="7" t="n">
        <v>8228300.54</v>
      </c>
      <c r="F14" s="7" t="n">
        <v>9017765.050000001</v>
      </c>
      <c r="G14" s="7" t="n">
        <v>8968051.109999999</v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>
        <f>IF(COUNT(C14:R14)=0,"",SUM(C14:R14))</f>
        <v/>
      </c>
      <c r="T14" s="9">
        <f>IF(OR(C$9="",C14=""),"",C14/C$9)</f>
        <v/>
      </c>
      <c r="U14" s="9">
        <f>IF(OR(D$9="",D14=""),"",D14/D$9)</f>
        <v/>
      </c>
      <c r="V14" s="9">
        <f>IF(OR(E$9="",E14=""),"",E14/E$9)</f>
        <v/>
      </c>
      <c r="W14" s="9">
        <f>IF(OR(F$9="",F14=""),"",F14/F$9)</f>
        <v/>
      </c>
      <c r="X14" s="9">
        <f>IF(OR(G$9="",G14=""),"",G14/G$9)</f>
        <v/>
      </c>
      <c r="Y14" s="9">
        <f>IF(OR(H$9="",H14=""),"",H14/H$9)</f>
        <v/>
      </c>
      <c r="Z14" s="9">
        <f>IF(OR(I$9="",I14=""),"",I14/I$9)</f>
        <v/>
      </c>
      <c r="AA14" s="9">
        <f>IF(OR(J$9="",J14=""),"",J14/J$9)</f>
        <v/>
      </c>
      <c r="AB14" s="9">
        <f>IF(OR(K$9="",K14=""),"",K14/K$9)</f>
        <v/>
      </c>
      <c r="AC14" s="9">
        <f>IF(OR(L$9="",L14=""),"",L14/L$9)</f>
        <v/>
      </c>
      <c r="AD14" s="9">
        <f>IF(OR(M$9="",M14=""),"",M14/M$9)</f>
        <v/>
      </c>
      <c r="AE14" s="9">
        <f>IF(OR(N$9="",N14=""),"",N14/N$9)</f>
        <v/>
      </c>
      <c r="AF14" s="9">
        <f>IF(OR(O$9="",O14=""),"",O14/O$9)</f>
        <v/>
      </c>
      <c r="AG14" s="9">
        <f>IF(OR(P$9="",P14=""),"",P14/P$9)</f>
        <v/>
      </c>
      <c r="AH14" s="9">
        <f>IF(OR(Q$9="",Q14=""),"",Q14/Q$9)</f>
        <v/>
      </c>
      <c r="AI14" s="9">
        <f>IF(OR(R$9="",R14=""),"",R14/R$9)</f>
        <v/>
      </c>
    </row>
    <row r="15">
      <c r="A15" s="5" t="inlineStr">
        <is>
          <t xml:space="preserve">   Direct Labour Cost</t>
        </is>
      </c>
      <c r="B15" s="6" t="inlineStr">
        <is>
          <t>2.4</t>
        </is>
      </c>
      <c r="C15" s="7" t="n">
        <v>3930711</v>
      </c>
      <c r="D15" s="7" t="n">
        <v>6733908</v>
      </c>
      <c r="E15" s="7" t="n">
        <v>8103439.55</v>
      </c>
      <c r="F15" s="7" t="n">
        <v>7737856.47</v>
      </c>
      <c r="G15" s="7" t="n">
        <v>7753780.97</v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>
        <f>IF(COUNT(C15:R15)=0,"",SUM(C15:R15))</f>
        <v/>
      </c>
      <c r="T15" s="9">
        <f>IF(OR(C$9="",C15=""),"",C15/C$9)</f>
        <v/>
      </c>
      <c r="U15" s="9">
        <f>IF(OR(D$9="",D15=""),"",D15/D$9)</f>
        <v/>
      </c>
      <c r="V15" s="9">
        <f>IF(OR(E$9="",E15=""),"",E15/E$9)</f>
        <v/>
      </c>
      <c r="W15" s="9">
        <f>IF(OR(F$9="",F15=""),"",F15/F$9)</f>
        <v/>
      </c>
      <c r="X15" s="9">
        <f>IF(OR(G$9="",G15=""),"",G15/G$9)</f>
        <v/>
      </c>
      <c r="Y15" s="9">
        <f>IF(OR(H$9="",H15=""),"",H15/H$9)</f>
        <v/>
      </c>
      <c r="Z15" s="9">
        <f>IF(OR(I$9="",I15=""),"",I15/I$9)</f>
        <v/>
      </c>
      <c r="AA15" s="9">
        <f>IF(OR(J$9="",J15=""),"",J15/J$9)</f>
        <v/>
      </c>
      <c r="AB15" s="9">
        <f>IF(OR(K$9="",K15=""),"",K15/K$9)</f>
        <v/>
      </c>
      <c r="AC15" s="9">
        <f>IF(OR(L$9="",L15=""),"",L15/L$9)</f>
        <v/>
      </c>
      <c r="AD15" s="9">
        <f>IF(OR(M$9="",M15=""),"",M15/M$9)</f>
        <v/>
      </c>
      <c r="AE15" s="9">
        <f>IF(OR(N$9="",N15=""),"",N15/N$9)</f>
        <v/>
      </c>
      <c r="AF15" s="9">
        <f>IF(OR(O$9="",O15=""),"",O15/O$9)</f>
        <v/>
      </c>
      <c r="AG15" s="9">
        <f>IF(OR(P$9="",P15=""),"",P15/P$9)</f>
        <v/>
      </c>
      <c r="AH15" s="9">
        <f>IF(OR(Q$9="",Q15=""),"",Q15/Q$9)</f>
        <v/>
      </c>
      <c r="AI15" s="9">
        <f>IF(OR(R$9="",R15=""),"",R15/R$9)</f>
        <v/>
      </c>
    </row>
    <row r="16">
      <c r="A16" s="5" t="inlineStr">
        <is>
          <t xml:space="preserve">   Repair &amp; Maintenance</t>
        </is>
      </c>
      <c r="B16" s="6" t="inlineStr">
        <is>
          <t>2.5</t>
        </is>
      </c>
      <c r="C16" s="7" t="n">
        <v>139598</v>
      </c>
      <c r="D16" s="7" t="n">
        <v>305311</v>
      </c>
      <c r="E16" s="7" t="n">
        <v>220023.53</v>
      </c>
      <c r="F16" s="7" t="n">
        <v>178935.92</v>
      </c>
      <c r="G16" s="7" t="n">
        <v>661018.36</v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>
        <f>IF(COUNT(C16:R16)=0,"",SUM(C16:R16))</f>
        <v/>
      </c>
      <c r="T16" s="9">
        <f>IF(OR(C$9="",C16=""),"",C16/C$9)</f>
        <v/>
      </c>
      <c r="U16" s="9">
        <f>IF(OR(D$9="",D16=""),"",D16/D$9)</f>
        <v/>
      </c>
      <c r="V16" s="9">
        <f>IF(OR(E$9="",E16=""),"",E16/E$9)</f>
        <v/>
      </c>
      <c r="W16" s="9">
        <f>IF(OR(F$9="",F16=""),"",F16/F$9)</f>
        <v/>
      </c>
      <c r="X16" s="9">
        <f>IF(OR(G$9="",G16=""),"",G16/G$9)</f>
        <v/>
      </c>
      <c r="Y16" s="9">
        <f>IF(OR(H$9="",H16=""),"",H16/H$9)</f>
        <v/>
      </c>
      <c r="Z16" s="9">
        <f>IF(OR(I$9="",I16=""),"",I16/I$9)</f>
        <v/>
      </c>
      <c r="AA16" s="9">
        <f>IF(OR(J$9="",J16=""),"",J16/J$9)</f>
        <v/>
      </c>
      <c r="AB16" s="9">
        <f>IF(OR(K$9="",K16=""),"",K16/K$9)</f>
        <v/>
      </c>
      <c r="AC16" s="9">
        <f>IF(OR(L$9="",L16=""),"",L16/L$9)</f>
        <v/>
      </c>
      <c r="AD16" s="9">
        <f>IF(OR(M$9="",M16=""),"",M16/M$9)</f>
        <v/>
      </c>
      <c r="AE16" s="9">
        <f>IF(OR(N$9="",N16=""),"",N16/N$9)</f>
        <v/>
      </c>
      <c r="AF16" s="9">
        <f>IF(OR(O$9="",O16=""),"",O16/O$9)</f>
        <v/>
      </c>
      <c r="AG16" s="9">
        <f>IF(OR(P$9="",P16=""),"",P16/P$9)</f>
        <v/>
      </c>
      <c r="AH16" s="9">
        <f>IF(OR(Q$9="",Q16=""),"",Q16/Q$9)</f>
        <v/>
      </c>
      <c r="AI16" s="9">
        <f>IF(OR(R$9="",R16=""),"",R16/R$9)</f>
        <v/>
      </c>
    </row>
    <row r="17">
      <c r="A17" s="5" t="inlineStr">
        <is>
          <t xml:space="preserve">   Rent Rates</t>
        </is>
      </c>
      <c r="B17" s="6" t="inlineStr">
        <is>
          <t>2.6</t>
        </is>
      </c>
      <c r="C17" s="7" t="n">
        <v>0</v>
      </c>
      <c r="D17" s="7" t="n">
        <v>107500</v>
      </c>
      <c r="E17" s="7" t="n">
        <v>347500</v>
      </c>
      <c r="F17" s="7" t="n">
        <v>360000</v>
      </c>
      <c r="G17" s="7" t="n">
        <v>485000</v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>
        <f>IF(COUNT(C17:R17)=0,"",SUM(C17:R17))</f>
        <v/>
      </c>
      <c r="T17" s="9">
        <f>IF(OR(C$9="",C17=""),"",C17/C$9)</f>
        <v/>
      </c>
      <c r="U17" s="9">
        <f>IF(OR(D$9="",D17=""),"",D17/D$9)</f>
        <v/>
      </c>
      <c r="V17" s="9">
        <f>IF(OR(E$9="",E17=""),"",E17/E$9)</f>
        <v/>
      </c>
      <c r="W17" s="9">
        <f>IF(OR(F$9="",F17=""),"",F17/F$9)</f>
        <v/>
      </c>
      <c r="X17" s="9">
        <f>IF(OR(G$9="",G17=""),"",G17/G$9)</f>
        <v/>
      </c>
      <c r="Y17" s="9">
        <f>IF(OR(H$9="",H17=""),"",H17/H$9)</f>
        <v/>
      </c>
      <c r="Z17" s="9">
        <f>IF(OR(I$9="",I17=""),"",I17/I$9)</f>
        <v/>
      </c>
      <c r="AA17" s="9">
        <f>IF(OR(J$9="",J17=""),"",J17/J$9)</f>
        <v/>
      </c>
      <c r="AB17" s="9">
        <f>IF(OR(K$9="",K17=""),"",K17/K$9)</f>
        <v/>
      </c>
      <c r="AC17" s="9">
        <f>IF(OR(L$9="",L17=""),"",L17/L$9)</f>
        <v/>
      </c>
      <c r="AD17" s="9">
        <f>IF(OR(M$9="",M17=""),"",M17/M$9)</f>
        <v/>
      </c>
      <c r="AE17" s="9">
        <f>IF(OR(N$9="",N17=""),"",N17/N$9)</f>
        <v/>
      </c>
      <c r="AF17" s="9">
        <f>IF(OR(O$9="",O17=""),"",O17/O$9)</f>
        <v/>
      </c>
      <c r="AG17" s="9">
        <f>IF(OR(P$9="",P17=""),"",P17/P$9)</f>
        <v/>
      </c>
      <c r="AH17" s="9">
        <f>IF(OR(Q$9="",Q17=""),"",Q17/Q$9)</f>
        <v/>
      </c>
      <c r="AI17" s="9">
        <f>IF(OR(R$9="",R17=""),"",R17/R$9)</f>
        <v/>
      </c>
    </row>
    <row r="18">
      <c r="A18" s="5" t="inlineStr">
        <is>
          <t xml:space="preserve">   Printing And Stationery</t>
        </is>
      </c>
      <c r="B18" s="6" t="inlineStr">
        <is>
          <t>2.7</t>
        </is>
      </c>
      <c r="C18" s="7" t="n">
        <v>50934</v>
      </c>
      <c r="D18" s="7" t="n">
        <v>15791</v>
      </c>
      <c r="E18" s="7" t="n">
        <v>41830.68</v>
      </c>
      <c r="F18" s="7" t="n">
        <v>48499.93</v>
      </c>
      <c r="G18" s="7" t="n">
        <v>39243.52</v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>
        <f>IF(COUNT(C18:R18)=0,"",SUM(C18:R18))</f>
        <v/>
      </c>
      <c r="T18" s="9">
        <f>IF(OR(C$9="",C18=""),"",C18/C$9)</f>
        <v/>
      </c>
      <c r="U18" s="9">
        <f>IF(OR(D$9="",D18=""),"",D18/D$9)</f>
        <v/>
      </c>
      <c r="V18" s="9">
        <f>IF(OR(E$9="",E18=""),"",E18/E$9)</f>
        <v/>
      </c>
      <c r="W18" s="9">
        <f>IF(OR(F$9="",F18=""),"",F18/F$9)</f>
        <v/>
      </c>
      <c r="X18" s="9">
        <f>IF(OR(G$9="",G18=""),"",G18/G$9)</f>
        <v/>
      </c>
      <c r="Y18" s="9">
        <f>IF(OR(H$9="",H18=""),"",H18/H$9)</f>
        <v/>
      </c>
      <c r="Z18" s="9">
        <f>IF(OR(I$9="",I18=""),"",I18/I$9)</f>
        <v/>
      </c>
      <c r="AA18" s="9">
        <f>IF(OR(J$9="",J18=""),"",J18/J$9)</f>
        <v/>
      </c>
      <c r="AB18" s="9">
        <f>IF(OR(K$9="",K18=""),"",K18/K$9)</f>
        <v/>
      </c>
      <c r="AC18" s="9">
        <f>IF(OR(L$9="",L18=""),"",L18/L$9)</f>
        <v/>
      </c>
      <c r="AD18" s="9">
        <f>IF(OR(M$9="",M18=""),"",M18/M$9)</f>
        <v/>
      </c>
      <c r="AE18" s="9">
        <f>IF(OR(N$9="",N18=""),"",N18/N$9)</f>
        <v/>
      </c>
      <c r="AF18" s="9">
        <f>IF(OR(O$9="",O18=""),"",O18/O$9)</f>
        <v/>
      </c>
      <c r="AG18" s="9">
        <f>IF(OR(P$9="",P18=""),"",P18/P$9)</f>
        <v/>
      </c>
      <c r="AH18" s="9">
        <f>IF(OR(Q$9="",Q18=""),"",Q18/Q$9)</f>
        <v/>
      </c>
      <c r="AI18" s="9">
        <f>IF(OR(R$9="",R18=""),"",R18/R$9)</f>
        <v/>
      </c>
    </row>
    <row r="19">
      <c r="A19" s="5" t="inlineStr">
        <is>
          <t xml:space="preserve">   Travelling and Conveyance</t>
        </is>
      </c>
      <c r="B19" s="6" t="inlineStr">
        <is>
          <t>2.8</t>
        </is>
      </c>
      <c r="C19" s="7" t="n">
        <v>30291</v>
      </c>
      <c r="D19" s="7" t="n">
        <v>22014</v>
      </c>
      <c r="E19" s="7" t="n">
        <v>10210</v>
      </c>
      <c r="F19" s="7" t="n">
        <v>5051</v>
      </c>
      <c r="G19" s="7" t="n">
        <v>4495</v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>
        <f>IF(COUNT(C19:R19)=0,"",SUM(C19:R19))</f>
        <v/>
      </c>
      <c r="T19" s="9">
        <f>IF(OR(C$9="",C19=""),"",C19/C$9)</f>
        <v/>
      </c>
      <c r="U19" s="9">
        <f>IF(OR(D$9="",D19=""),"",D19/D$9)</f>
        <v/>
      </c>
      <c r="V19" s="9">
        <f>IF(OR(E$9="",E19=""),"",E19/E$9)</f>
        <v/>
      </c>
      <c r="W19" s="9">
        <f>IF(OR(F$9="",F19=""),"",F19/F$9)</f>
        <v/>
      </c>
      <c r="X19" s="9">
        <f>IF(OR(G$9="",G19=""),"",G19/G$9)</f>
        <v/>
      </c>
      <c r="Y19" s="9">
        <f>IF(OR(H$9="",H19=""),"",H19/H$9)</f>
        <v/>
      </c>
      <c r="Z19" s="9">
        <f>IF(OR(I$9="",I19=""),"",I19/I$9)</f>
        <v/>
      </c>
      <c r="AA19" s="9">
        <f>IF(OR(J$9="",J19=""),"",J19/J$9)</f>
        <v/>
      </c>
      <c r="AB19" s="9">
        <f>IF(OR(K$9="",K19=""),"",K19/K$9)</f>
        <v/>
      </c>
      <c r="AC19" s="9">
        <f>IF(OR(L$9="",L19=""),"",L19/L$9)</f>
        <v/>
      </c>
      <c r="AD19" s="9">
        <f>IF(OR(M$9="",M19=""),"",M19/M$9)</f>
        <v/>
      </c>
      <c r="AE19" s="9">
        <f>IF(OR(N$9="",N19=""),"",N19/N$9)</f>
        <v/>
      </c>
      <c r="AF19" s="9">
        <f>IF(OR(O$9="",O19=""),"",O19/O$9)</f>
        <v/>
      </c>
      <c r="AG19" s="9">
        <f>IF(OR(P$9="",P19=""),"",P19/P$9)</f>
        <v/>
      </c>
      <c r="AH19" s="9">
        <f>IF(OR(Q$9="",Q19=""),"",Q19/Q$9)</f>
        <v/>
      </c>
      <c r="AI19" s="9">
        <f>IF(OR(R$9="",R19=""),"",R19/R$9)</f>
        <v/>
      </c>
    </row>
    <row r="20">
      <c r="A20" s="5" t="inlineStr">
        <is>
          <t xml:space="preserve">   General Expense</t>
        </is>
      </c>
      <c r="B20" s="6" t="inlineStr">
        <is>
          <t>2.9</t>
        </is>
      </c>
      <c r="C20" s="7" t="n">
        <v>133829</v>
      </c>
      <c r="D20" s="7" t="n">
        <v>313206</v>
      </c>
      <c r="E20" s="7" t="n">
        <v>440786.48</v>
      </c>
      <c r="F20" s="7" t="n">
        <v>421180.86</v>
      </c>
      <c r="G20" s="7" t="n">
        <v>501336.38</v>
      </c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>
        <f>IF(COUNT(C20:R20)=0,"",SUM(C20:R20))</f>
        <v/>
      </c>
      <c r="T20" s="9">
        <f>IF(OR(C$9="",C20=""),"",C20/C$9)</f>
        <v/>
      </c>
      <c r="U20" s="9">
        <f>IF(OR(D$9="",D20=""),"",D20/D$9)</f>
        <v/>
      </c>
      <c r="V20" s="9">
        <f>IF(OR(E$9="",E20=""),"",E20/E$9)</f>
        <v/>
      </c>
      <c r="W20" s="9">
        <f>IF(OR(F$9="",F20=""),"",F20/F$9)</f>
        <v/>
      </c>
      <c r="X20" s="9">
        <f>IF(OR(G$9="",G20=""),"",G20/G$9)</f>
        <v/>
      </c>
      <c r="Y20" s="9">
        <f>IF(OR(H$9="",H20=""),"",H20/H$9)</f>
        <v/>
      </c>
      <c r="Z20" s="9">
        <f>IF(OR(I$9="",I20=""),"",I20/I$9)</f>
        <v/>
      </c>
      <c r="AA20" s="9">
        <f>IF(OR(J$9="",J20=""),"",J20/J$9)</f>
        <v/>
      </c>
      <c r="AB20" s="9">
        <f>IF(OR(K$9="",K20=""),"",K20/K$9)</f>
        <v/>
      </c>
      <c r="AC20" s="9">
        <f>IF(OR(L$9="",L20=""),"",L20/L$9)</f>
        <v/>
      </c>
      <c r="AD20" s="9">
        <f>IF(OR(M$9="",M20=""),"",M20/M$9)</f>
        <v/>
      </c>
      <c r="AE20" s="9">
        <f>IF(OR(N$9="",N20=""),"",N20/N$9)</f>
        <v/>
      </c>
      <c r="AF20" s="9">
        <f>IF(OR(O$9="",O20=""),"",O20/O$9)</f>
        <v/>
      </c>
      <c r="AG20" s="9">
        <f>IF(OR(P$9="",P20=""),"",P20/P$9)</f>
        <v/>
      </c>
      <c r="AH20" s="9">
        <f>IF(OR(Q$9="",Q20=""),"",Q20/Q$9)</f>
        <v/>
      </c>
      <c r="AI20" s="9">
        <f>IF(OR(R$9="",R20=""),"",R20/R$9)</f>
        <v/>
      </c>
    </row>
    <row r="21">
      <c r="A21" s="14" t="inlineStr">
        <is>
          <t>Total COGS</t>
        </is>
      </c>
      <c r="B21" s="15" t="inlineStr">
        <is>
          <t>2</t>
        </is>
      </c>
      <c r="C21" s="16">
        <f>IF(COUNT(C12:C20)=0,"",SUM(C12:C20))</f>
        <v/>
      </c>
      <c r="D21" s="16">
        <f>IF(COUNT(D12:D20)=0,"",SUM(D12:D20))</f>
        <v/>
      </c>
      <c r="E21" s="16">
        <f>IF(COUNT(E12:E20)=0,"",SUM(E12:E20))</f>
        <v/>
      </c>
      <c r="F21" s="16">
        <f>IF(COUNT(F12:F20)=0,"",SUM(F12:F20))</f>
        <v/>
      </c>
      <c r="G21" s="16">
        <f>IF(COUNT(G12:G20)=0,"",SUM(G12:G20))</f>
        <v/>
      </c>
      <c r="H21" s="16">
        <f>IF(COUNT(H12:H20)=0,"",SUM(H12:H20))</f>
        <v/>
      </c>
      <c r="I21" s="16">
        <f>IF(COUNT(I12:I20)=0,"",SUM(I12:I20))</f>
        <v/>
      </c>
      <c r="J21" s="16">
        <f>IF(COUNT(J12:J20)=0,"",SUM(J12:J20))</f>
        <v/>
      </c>
      <c r="K21" s="16">
        <f>IF(COUNT(K12:K20)=0,"",SUM(K12:K20))</f>
        <v/>
      </c>
      <c r="L21" s="16">
        <f>IF(COUNT(L12:L20)=0,"",SUM(L12:L20))</f>
        <v/>
      </c>
      <c r="M21" s="16">
        <f>IF(COUNT(M12:M20)=0,"",SUM(M12:M20))</f>
        <v/>
      </c>
      <c r="N21" s="16">
        <f>IF(COUNT(N12:N20)=0,"",SUM(N12:N20))</f>
        <v/>
      </c>
      <c r="O21" s="16">
        <f>IF(COUNT(O12:O20)=0,"",SUM(O12:O20))</f>
        <v/>
      </c>
      <c r="P21" s="16">
        <f>IF(COUNT(P12:P20)=0,"",SUM(P12:P20))</f>
        <v/>
      </c>
      <c r="Q21" s="16">
        <f>IF(COUNT(Q12:Q20)=0,"",SUM(Q12:Q20))</f>
        <v/>
      </c>
      <c r="R21" s="16">
        <f>IF(COUNT(R12:R20)=0,"",SUM(R12:R20))</f>
        <v/>
      </c>
      <c r="S21" s="16">
        <f>IF(COUNT(C21:R21)=0,"",SUM(C21:R21))</f>
        <v/>
      </c>
      <c r="T21" s="17">
        <f>IF(OR(C$9="",C21=""),"",C21/C$9)</f>
        <v/>
      </c>
      <c r="U21" s="17">
        <f>IF(OR(D$9="",D21=""),"",D21/D$9)</f>
        <v/>
      </c>
      <c r="V21" s="17">
        <f>IF(OR(E$9="",E21=""),"",E21/E$9)</f>
        <v/>
      </c>
      <c r="W21" s="17">
        <f>IF(OR(F$9="",F21=""),"",F21/F$9)</f>
        <v/>
      </c>
      <c r="X21" s="17">
        <f>IF(OR(G$9="",G21=""),"",G21/G$9)</f>
        <v/>
      </c>
      <c r="Y21" s="17">
        <f>IF(OR(H$9="",H21=""),"",H21/H$9)</f>
        <v/>
      </c>
      <c r="Z21" s="17">
        <f>IF(OR(I$9="",I21=""),"",I21/I$9)</f>
        <v/>
      </c>
      <c r="AA21" s="17">
        <f>IF(OR(J$9="",J21=""),"",J21/J$9)</f>
        <v/>
      </c>
      <c r="AB21" s="17">
        <f>IF(OR(K$9="",K21=""),"",K21/K$9)</f>
        <v/>
      </c>
      <c r="AC21" s="17">
        <f>IF(OR(L$9="",L21=""),"",L21/L$9)</f>
        <v/>
      </c>
      <c r="AD21" s="17">
        <f>IF(OR(M$9="",M21=""),"",M21/M$9)</f>
        <v/>
      </c>
      <c r="AE21" s="17">
        <f>IF(OR(N$9="",N21=""),"",N21/N$9)</f>
        <v/>
      </c>
      <c r="AF21" s="17">
        <f>IF(OR(O$9="",O21=""),"",O21/O$9)</f>
        <v/>
      </c>
      <c r="AG21" s="17">
        <f>IF(OR(P$9="",P21=""),"",P21/P$9)</f>
        <v/>
      </c>
      <c r="AH21" s="17">
        <f>IF(OR(Q$9="",Q21=""),"",Q21/Q$9)</f>
        <v/>
      </c>
      <c r="AI21" s="17">
        <f>IF(OR(R$9="",R21=""),"",R21/R$9)</f>
        <v/>
      </c>
    </row>
    <row r="22">
      <c r="A22" s="10" t="inlineStr">
        <is>
          <t>GROSS PROFIT</t>
        </is>
      </c>
      <c r="B22" s="11" t="inlineStr"/>
      <c r="C22" s="12">
        <f>IF(C9="","",C9-C21)</f>
        <v/>
      </c>
      <c r="D22" s="12">
        <f>IF(D9="","",D9-D21)</f>
        <v/>
      </c>
      <c r="E22" s="12">
        <f>IF(E9="","",E9-E21)</f>
        <v/>
      </c>
      <c r="F22" s="12">
        <f>IF(F9="","",F9-F21)</f>
        <v/>
      </c>
      <c r="G22" s="12">
        <f>IF(G9="","",G9-G21)</f>
        <v/>
      </c>
      <c r="H22" s="12">
        <f>IF(H9="","",H9-H21)</f>
        <v/>
      </c>
      <c r="I22" s="12">
        <f>IF(I9="","",I9-I21)</f>
        <v/>
      </c>
      <c r="J22" s="12">
        <f>IF(J9="","",J9-J21)</f>
        <v/>
      </c>
      <c r="K22" s="12">
        <f>IF(K9="","",K9-K21)</f>
        <v/>
      </c>
      <c r="L22" s="12">
        <f>IF(L9="","",L9-L21)</f>
        <v/>
      </c>
      <c r="M22" s="12">
        <f>IF(M9="","",M9-M21)</f>
        <v/>
      </c>
      <c r="N22" s="12">
        <f>IF(N9="","",N9-N21)</f>
        <v/>
      </c>
      <c r="O22" s="12">
        <f>IF(O9="","",O9-O21)</f>
        <v/>
      </c>
      <c r="P22" s="12">
        <f>IF(P9="","",P9-P21)</f>
        <v/>
      </c>
      <c r="Q22" s="12">
        <f>IF(Q9="","",Q9-Q21)</f>
        <v/>
      </c>
      <c r="R22" s="12">
        <f>IF(R9="","",R9-R21)</f>
        <v/>
      </c>
      <c r="S22" s="12">
        <f>IF(COUNT(C22:R22)=0,"",SUM(C22:R22))</f>
        <v/>
      </c>
      <c r="T22" s="13">
        <f>IF(OR(C$9="",C22=""),"",C22/C$9)</f>
        <v/>
      </c>
      <c r="U22" s="13">
        <f>IF(OR(D$9="",D22=""),"",D22/D$9)</f>
        <v/>
      </c>
      <c r="V22" s="13">
        <f>IF(OR(E$9="",E22=""),"",E22/E$9)</f>
        <v/>
      </c>
      <c r="W22" s="13">
        <f>IF(OR(F$9="",F22=""),"",F22/F$9)</f>
        <v/>
      </c>
      <c r="X22" s="13">
        <f>IF(OR(G$9="",G22=""),"",G22/G$9)</f>
        <v/>
      </c>
      <c r="Y22" s="13">
        <f>IF(OR(H$9="",H22=""),"",H22/H$9)</f>
        <v/>
      </c>
      <c r="Z22" s="13">
        <f>IF(OR(I$9="",I22=""),"",I22/I$9)</f>
        <v/>
      </c>
      <c r="AA22" s="13">
        <f>IF(OR(J$9="",J22=""),"",J22/J$9)</f>
        <v/>
      </c>
      <c r="AB22" s="13">
        <f>IF(OR(K$9="",K22=""),"",K22/K$9)</f>
        <v/>
      </c>
      <c r="AC22" s="13">
        <f>IF(OR(L$9="",L22=""),"",L22/L$9)</f>
        <v/>
      </c>
      <c r="AD22" s="13">
        <f>IF(OR(M$9="",M22=""),"",M22/M$9)</f>
        <v/>
      </c>
      <c r="AE22" s="13">
        <f>IF(OR(N$9="",N22=""),"",N22/N$9)</f>
        <v/>
      </c>
      <c r="AF22" s="13">
        <f>IF(OR(O$9="",O22=""),"",O22/O$9)</f>
        <v/>
      </c>
      <c r="AG22" s="13">
        <f>IF(OR(P$9="",P22=""),"",P22/P$9)</f>
        <v/>
      </c>
      <c r="AH22" s="13">
        <f>IF(OR(Q$9="",Q22=""),"",Q22/Q$9)</f>
        <v/>
      </c>
      <c r="AI22" s="13">
        <f>IF(OR(R$9="",R22=""),"",R22/R$9)</f>
        <v/>
      </c>
    </row>
    <row r="23"/>
    <row r="24">
      <c r="A24" s="4" t="inlineStr">
        <is>
          <t>SELLING EXPENSES</t>
        </is>
      </c>
    </row>
    <row r="25">
      <c r="A25" s="5" t="inlineStr">
        <is>
          <t xml:space="preserve">   Non Consumable Service Cost</t>
        </is>
      </c>
      <c r="B25" s="6" t="inlineStr">
        <is>
          <t>3.1</t>
        </is>
      </c>
      <c r="C25" s="7" t="n">
        <v>957184</v>
      </c>
      <c r="D25" s="7" t="n">
        <v>1349218</v>
      </c>
      <c r="E25" s="7" t="n">
        <v>1548331.16</v>
      </c>
      <c r="F25" s="7" t="n">
        <v>1732999.83</v>
      </c>
      <c r="G25" s="7" t="n">
        <v>1864358.25</v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>
        <f>IF(COUNT(C25:R25)=0,"",SUM(C25:R25))</f>
        <v/>
      </c>
      <c r="T25" s="9">
        <f>IF(OR(C$9="",C25=""),"",C25/C$9)</f>
        <v/>
      </c>
      <c r="U25" s="9">
        <f>IF(OR(D$9="",D25=""),"",D25/D$9)</f>
        <v/>
      </c>
      <c r="V25" s="9">
        <f>IF(OR(E$9="",E25=""),"",E25/E$9)</f>
        <v/>
      </c>
      <c r="W25" s="9">
        <f>IF(OR(F$9="",F25=""),"",F25/F$9)</f>
        <v/>
      </c>
      <c r="X25" s="9">
        <f>IF(OR(G$9="",G25=""),"",G25/G$9)</f>
        <v/>
      </c>
      <c r="Y25" s="9">
        <f>IF(OR(H$9="",H25=""),"",H25/H$9)</f>
        <v/>
      </c>
      <c r="Z25" s="9">
        <f>IF(OR(I$9="",I25=""),"",I25/I$9)</f>
        <v/>
      </c>
      <c r="AA25" s="9">
        <f>IF(OR(J$9="",J25=""),"",J25/J$9)</f>
        <v/>
      </c>
      <c r="AB25" s="9">
        <f>IF(OR(K$9="",K25=""),"",K25/K$9)</f>
        <v/>
      </c>
      <c r="AC25" s="9">
        <f>IF(OR(L$9="",L25=""),"",L25/L$9)</f>
        <v/>
      </c>
      <c r="AD25" s="9">
        <f>IF(OR(M$9="",M25=""),"",M25/M$9)</f>
        <v/>
      </c>
      <c r="AE25" s="9">
        <f>IF(OR(N$9="",N25=""),"",N25/N$9)</f>
        <v/>
      </c>
      <c r="AF25" s="9">
        <f>IF(OR(O$9="",O25=""),"",O25/O$9)</f>
        <v/>
      </c>
      <c r="AG25" s="9">
        <f>IF(OR(P$9="",P25=""),"",P25/P$9)</f>
        <v/>
      </c>
      <c r="AH25" s="9">
        <f>IF(OR(Q$9="",Q25=""),"",Q25/Q$9)</f>
        <v/>
      </c>
      <c r="AI25" s="9">
        <f>IF(OR(R$9="",R25=""),"",R25/R$9)</f>
        <v/>
      </c>
    </row>
    <row r="26">
      <c r="A26" s="5" t="inlineStr">
        <is>
          <t xml:space="preserve">   Salaries Wages and Other Benefits</t>
        </is>
      </c>
      <c r="B26" s="6" t="inlineStr">
        <is>
          <t>3.2</t>
        </is>
      </c>
      <c r="C26" s="7" t="n">
        <v>5254027</v>
      </c>
      <c r="D26" s="7" t="n">
        <v>8577035</v>
      </c>
      <c r="E26" s="7" t="n">
        <v>9300656.469999999</v>
      </c>
      <c r="F26" s="7" t="n">
        <v>8468584.48</v>
      </c>
      <c r="G26" s="7" t="n">
        <v>9216875.279999999</v>
      </c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>
        <f>IF(COUNT(C26:R26)=0,"",SUM(C26:R26))</f>
        <v/>
      </c>
      <c r="T26" s="9">
        <f>IF(OR(C$9="",C26=""),"",C26/C$9)</f>
        <v/>
      </c>
      <c r="U26" s="9">
        <f>IF(OR(D$9="",D26=""),"",D26/D$9)</f>
        <v/>
      </c>
      <c r="V26" s="9">
        <f>IF(OR(E$9="",E26=""),"",E26/E$9)</f>
        <v/>
      </c>
      <c r="W26" s="9">
        <f>IF(OR(F$9="",F26=""),"",F26/F$9)</f>
        <v/>
      </c>
      <c r="X26" s="9">
        <f>IF(OR(G$9="",G26=""),"",G26/G$9)</f>
        <v/>
      </c>
      <c r="Y26" s="9">
        <f>IF(OR(H$9="",H26=""),"",H26/H$9)</f>
        <v/>
      </c>
      <c r="Z26" s="9">
        <f>IF(OR(I$9="",I26=""),"",I26/I$9)</f>
        <v/>
      </c>
      <c r="AA26" s="9">
        <f>IF(OR(J$9="",J26=""),"",J26/J$9)</f>
        <v/>
      </c>
      <c r="AB26" s="9">
        <f>IF(OR(K$9="",K26=""),"",K26/K$9)</f>
        <v/>
      </c>
      <c r="AC26" s="9">
        <f>IF(OR(L$9="",L26=""),"",L26/L$9)</f>
        <v/>
      </c>
      <c r="AD26" s="9">
        <f>IF(OR(M$9="",M26=""),"",M26/M$9)</f>
        <v/>
      </c>
      <c r="AE26" s="9">
        <f>IF(OR(N$9="",N26=""),"",N26/N$9)</f>
        <v/>
      </c>
      <c r="AF26" s="9">
        <f>IF(OR(O$9="",O26=""),"",O26/O$9)</f>
        <v/>
      </c>
      <c r="AG26" s="9">
        <f>IF(OR(P$9="",P26=""),"",P26/P$9)</f>
        <v/>
      </c>
      <c r="AH26" s="9">
        <f>IF(OR(Q$9="",Q26=""),"",Q26/Q$9)</f>
        <v/>
      </c>
      <c r="AI26" s="9">
        <f>IF(OR(R$9="",R26=""),"",R26/R$9)</f>
        <v/>
      </c>
    </row>
    <row r="27">
      <c r="A27" s="5" t="inlineStr">
        <is>
          <t xml:space="preserve">   Utilities Expense</t>
        </is>
      </c>
      <c r="B27" s="6" t="inlineStr">
        <is>
          <t>3.3</t>
        </is>
      </c>
      <c r="C27" s="7" t="n">
        <v>1241</v>
      </c>
      <c r="D27" s="7" t="n">
        <v>891</v>
      </c>
      <c r="E27" s="7" t="n">
        <v>893</v>
      </c>
      <c r="F27" s="7" t="n">
        <v>892</v>
      </c>
      <c r="G27" s="7" t="n">
        <v>425</v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>
        <f>IF(COUNT(C27:R27)=0,"",SUM(C27:R27))</f>
        <v/>
      </c>
      <c r="T27" s="9">
        <f>IF(OR(C$9="",C27=""),"",C27/C$9)</f>
        <v/>
      </c>
      <c r="U27" s="9">
        <f>IF(OR(D$9="",D27=""),"",D27/D$9)</f>
        <v/>
      </c>
      <c r="V27" s="9">
        <f>IF(OR(E$9="",E27=""),"",E27/E$9)</f>
        <v/>
      </c>
      <c r="W27" s="9">
        <f>IF(OR(F$9="",F27=""),"",F27/F$9)</f>
        <v/>
      </c>
      <c r="X27" s="9">
        <f>IF(OR(G$9="",G27=""),"",G27/G$9)</f>
        <v/>
      </c>
      <c r="Y27" s="9">
        <f>IF(OR(H$9="",H27=""),"",H27/H$9)</f>
        <v/>
      </c>
      <c r="Z27" s="9">
        <f>IF(OR(I$9="",I27=""),"",I27/I$9)</f>
        <v/>
      </c>
      <c r="AA27" s="9">
        <f>IF(OR(J$9="",J27=""),"",J27/J$9)</f>
        <v/>
      </c>
      <c r="AB27" s="9">
        <f>IF(OR(K$9="",K27=""),"",K27/K$9)</f>
        <v/>
      </c>
      <c r="AC27" s="9">
        <f>IF(OR(L$9="",L27=""),"",L27/L$9)</f>
        <v/>
      </c>
      <c r="AD27" s="9">
        <f>IF(OR(M$9="",M27=""),"",M27/M$9)</f>
        <v/>
      </c>
      <c r="AE27" s="9">
        <f>IF(OR(N$9="",N27=""),"",N27/N$9)</f>
        <v/>
      </c>
      <c r="AF27" s="9">
        <f>IF(OR(O$9="",O27=""),"",O27/O$9)</f>
        <v/>
      </c>
      <c r="AG27" s="9">
        <f>IF(OR(P$9="",P27=""),"",P27/P$9)</f>
        <v/>
      </c>
      <c r="AH27" s="9">
        <f>IF(OR(Q$9="",Q27=""),"",Q27/Q$9)</f>
        <v/>
      </c>
      <c r="AI27" s="9">
        <f>IF(OR(R$9="",R27=""),"",R27/R$9)</f>
        <v/>
      </c>
    </row>
    <row r="28">
      <c r="A28" s="5" t="inlineStr">
        <is>
          <t xml:space="preserve">   Advertising Expenses</t>
        </is>
      </c>
      <c r="B28" s="6" t="inlineStr">
        <is>
          <t>3.4</t>
        </is>
      </c>
      <c r="C28" s="7" t="n">
        <v>34197</v>
      </c>
      <c r="D28" s="7" t="n">
        <v>131347</v>
      </c>
      <c r="E28" s="7" t="n">
        <v>23908.82</v>
      </c>
      <c r="F28" s="7" t="n">
        <v>232725.15</v>
      </c>
      <c r="G28" s="7" t="n">
        <v>587850</v>
      </c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>
        <f>IF(COUNT(C28:R28)=0,"",SUM(C28:R28))</f>
        <v/>
      </c>
      <c r="T28" s="9">
        <f>IF(OR(C$9="",C28=""),"",C28/C$9)</f>
        <v/>
      </c>
      <c r="U28" s="9">
        <f>IF(OR(D$9="",D28=""),"",D28/D$9)</f>
        <v/>
      </c>
      <c r="V28" s="9">
        <f>IF(OR(E$9="",E28=""),"",E28/E$9)</f>
        <v/>
      </c>
      <c r="W28" s="9">
        <f>IF(OR(F$9="",F28=""),"",F28/F$9)</f>
        <v/>
      </c>
      <c r="X28" s="9">
        <f>IF(OR(G$9="",G28=""),"",G28/G$9)</f>
        <v/>
      </c>
      <c r="Y28" s="9">
        <f>IF(OR(H$9="",H28=""),"",H28/H$9)</f>
        <v/>
      </c>
      <c r="Z28" s="9">
        <f>IF(OR(I$9="",I28=""),"",I28/I$9)</f>
        <v/>
      </c>
      <c r="AA28" s="9">
        <f>IF(OR(J$9="",J28=""),"",J28/J$9)</f>
        <v/>
      </c>
      <c r="AB28" s="9">
        <f>IF(OR(K$9="",K28=""),"",K28/K$9)</f>
        <v/>
      </c>
      <c r="AC28" s="9">
        <f>IF(OR(L$9="",L28=""),"",L28/L$9)</f>
        <v/>
      </c>
      <c r="AD28" s="9">
        <f>IF(OR(M$9="",M28=""),"",M28/M$9)</f>
        <v/>
      </c>
      <c r="AE28" s="9">
        <f>IF(OR(N$9="",N28=""),"",N28/N$9)</f>
        <v/>
      </c>
      <c r="AF28" s="9">
        <f>IF(OR(O$9="",O28=""),"",O28/O$9)</f>
        <v/>
      </c>
      <c r="AG28" s="9">
        <f>IF(OR(P$9="",P28=""),"",P28/P$9)</f>
        <v/>
      </c>
      <c r="AH28" s="9">
        <f>IF(OR(Q$9="",Q28=""),"",Q28/Q$9)</f>
        <v/>
      </c>
      <c r="AI28" s="9">
        <f>IF(OR(R$9="",R28=""),"",R28/R$9)</f>
        <v/>
      </c>
    </row>
    <row r="29">
      <c r="A29" s="5" t="inlineStr">
        <is>
          <t xml:space="preserve">   Travelling &amp; Conveyance</t>
        </is>
      </c>
      <c r="B29" s="6" t="inlineStr">
        <is>
          <t>3.5</t>
        </is>
      </c>
      <c r="C29" s="7" t="n">
        <v>49545</v>
      </c>
      <c r="D29" s="7" t="n">
        <v>47790</v>
      </c>
      <c r="E29" s="7" t="n">
        <v>23970</v>
      </c>
      <c r="F29" s="7" t="n">
        <v>7395</v>
      </c>
      <c r="G29" s="7" t="n">
        <v>12021</v>
      </c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>
        <f>IF(COUNT(C29:R29)=0,"",SUM(C29:R29))</f>
        <v/>
      </c>
      <c r="T29" s="9">
        <f>IF(OR(C$9="",C29=""),"",C29/C$9)</f>
        <v/>
      </c>
      <c r="U29" s="9">
        <f>IF(OR(D$9="",D29=""),"",D29/D$9)</f>
        <v/>
      </c>
      <c r="V29" s="9">
        <f>IF(OR(E$9="",E29=""),"",E29/E$9)</f>
        <v/>
      </c>
      <c r="W29" s="9">
        <f>IF(OR(F$9="",F29=""),"",F29/F$9)</f>
        <v/>
      </c>
      <c r="X29" s="9">
        <f>IF(OR(G$9="",G29=""),"",G29/G$9)</f>
        <v/>
      </c>
      <c r="Y29" s="9">
        <f>IF(OR(H$9="",H29=""),"",H29/H$9)</f>
        <v/>
      </c>
      <c r="Z29" s="9">
        <f>IF(OR(I$9="",I29=""),"",I29/I$9)</f>
        <v/>
      </c>
      <c r="AA29" s="9">
        <f>IF(OR(J$9="",J29=""),"",J29/J$9)</f>
        <v/>
      </c>
      <c r="AB29" s="9">
        <f>IF(OR(K$9="",K29=""),"",K29/K$9)</f>
        <v/>
      </c>
      <c r="AC29" s="9">
        <f>IF(OR(L$9="",L29=""),"",L29/L$9)</f>
        <v/>
      </c>
      <c r="AD29" s="9">
        <f>IF(OR(M$9="",M29=""),"",M29/M$9)</f>
        <v/>
      </c>
      <c r="AE29" s="9">
        <f>IF(OR(N$9="",N29=""),"",N29/N$9)</f>
        <v/>
      </c>
      <c r="AF29" s="9">
        <f>IF(OR(O$9="",O29=""),"",O29/O$9)</f>
        <v/>
      </c>
      <c r="AG29" s="9">
        <f>IF(OR(P$9="",P29=""),"",P29/P$9)</f>
        <v/>
      </c>
      <c r="AH29" s="9">
        <f>IF(OR(Q$9="",Q29=""),"",Q29/Q$9)</f>
        <v/>
      </c>
      <c r="AI29" s="9">
        <f>IF(OR(R$9="",R29=""),"",R29/R$9)</f>
        <v/>
      </c>
    </row>
    <row r="30">
      <c r="A30" s="5" t="inlineStr">
        <is>
          <t xml:space="preserve">   Vehicle Running Expenses</t>
        </is>
      </c>
      <c r="B30" s="6" t="inlineStr">
        <is>
          <t>3.6</t>
        </is>
      </c>
      <c r="C30" s="7" t="n">
        <v>0</v>
      </c>
      <c r="D30" s="7" t="n">
        <v>0</v>
      </c>
      <c r="E30" s="7" t="n">
        <v>225000</v>
      </c>
      <c r="F30" s="7" t="n">
        <v>75000</v>
      </c>
      <c r="G30" s="7" t="n">
        <v>75000</v>
      </c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>
        <f>IF(COUNT(C30:R30)=0,"",SUM(C30:R30))</f>
        <v/>
      </c>
      <c r="T30" s="9">
        <f>IF(OR(C$9="",C30=""),"",C30/C$9)</f>
        <v/>
      </c>
      <c r="U30" s="9">
        <f>IF(OR(D$9="",D30=""),"",D30/D$9)</f>
        <v/>
      </c>
      <c r="V30" s="9">
        <f>IF(OR(E$9="",E30=""),"",E30/E$9)</f>
        <v/>
      </c>
      <c r="W30" s="9">
        <f>IF(OR(F$9="",F30=""),"",F30/F$9)</f>
        <v/>
      </c>
      <c r="X30" s="9">
        <f>IF(OR(G$9="",G30=""),"",G30/G$9)</f>
        <v/>
      </c>
      <c r="Y30" s="9">
        <f>IF(OR(H$9="",H30=""),"",H30/H$9)</f>
        <v/>
      </c>
      <c r="Z30" s="9">
        <f>IF(OR(I$9="",I30=""),"",I30/I$9)</f>
        <v/>
      </c>
      <c r="AA30" s="9">
        <f>IF(OR(J$9="",J30=""),"",J30/J$9)</f>
        <v/>
      </c>
      <c r="AB30" s="9">
        <f>IF(OR(K$9="",K30=""),"",K30/K$9)</f>
        <v/>
      </c>
      <c r="AC30" s="9">
        <f>IF(OR(L$9="",L30=""),"",L30/L$9)</f>
        <v/>
      </c>
      <c r="AD30" s="9">
        <f>IF(OR(M$9="",M30=""),"",M30/M$9)</f>
        <v/>
      </c>
      <c r="AE30" s="9">
        <f>IF(OR(N$9="",N30=""),"",N30/N$9)</f>
        <v/>
      </c>
      <c r="AF30" s="9">
        <f>IF(OR(O$9="",O30=""),"",O30/O$9)</f>
        <v/>
      </c>
      <c r="AG30" s="9">
        <f>IF(OR(P$9="",P30=""),"",P30/P$9)</f>
        <v/>
      </c>
      <c r="AH30" s="9">
        <f>IF(OR(Q$9="",Q30=""),"",Q30/Q$9)</f>
        <v/>
      </c>
      <c r="AI30" s="9">
        <f>IF(OR(R$9="",R30=""),"",R30/R$9)</f>
        <v/>
      </c>
    </row>
    <row r="31">
      <c r="A31" s="5" t="inlineStr">
        <is>
          <t xml:space="preserve">   Printing &amp; Stationary</t>
        </is>
      </c>
      <c r="B31" s="6" t="inlineStr">
        <is>
          <t>3.7</t>
        </is>
      </c>
      <c r="C31" s="7" t="n">
        <v>667206</v>
      </c>
      <c r="D31" s="7" t="n">
        <v>274080</v>
      </c>
      <c r="E31" s="7" t="n">
        <v>152153.4</v>
      </c>
      <c r="F31" s="7" t="n">
        <v>392902.99</v>
      </c>
      <c r="G31" s="7" t="n">
        <v>283377.66</v>
      </c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>
        <f>IF(COUNT(C31:R31)=0,"",SUM(C31:R31))</f>
        <v/>
      </c>
      <c r="T31" s="9">
        <f>IF(OR(C$9="",C31=""),"",C31/C$9)</f>
        <v/>
      </c>
      <c r="U31" s="9">
        <f>IF(OR(D$9="",D31=""),"",D31/D$9)</f>
        <v/>
      </c>
      <c r="V31" s="9">
        <f>IF(OR(E$9="",E31=""),"",E31/E$9)</f>
        <v/>
      </c>
      <c r="W31" s="9">
        <f>IF(OR(F$9="",F31=""),"",F31/F$9)</f>
        <v/>
      </c>
      <c r="X31" s="9">
        <f>IF(OR(G$9="",G31=""),"",G31/G$9)</f>
        <v/>
      </c>
      <c r="Y31" s="9">
        <f>IF(OR(H$9="",H31=""),"",H31/H$9)</f>
        <v/>
      </c>
      <c r="Z31" s="9">
        <f>IF(OR(I$9="",I31=""),"",I31/I$9)</f>
        <v/>
      </c>
      <c r="AA31" s="9">
        <f>IF(OR(J$9="",J31=""),"",J31/J$9)</f>
        <v/>
      </c>
      <c r="AB31" s="9">
        <f>IF(OR(K$9="",K31=""),"",K31/K$9)</f>
        <v/>
      </c>
      <c r="AC31" s="9">
        <f>IF(OR(L$9="",L31=""),"",L31/L$9)</f>
        <v/>
      </c>
      <c r="AD31" s="9">
        <f>IF(OR(M$9="",M31=""),"",M31/M$9)</f>
        <v/>
      </c>
      <c r="AE31" s="9">
        <f>IF(OR(N$9="",N31=""),"",N31/N$9)</f>
        <v/>
      </c>
      <c r="AF31" s="9">
        <f>IF(OR(O$9="",O31=""),"",O31/O$9)</f>
        <v/>
      </c>
      <c r="AG31" s="9">
        <f>IF(OR(P$9="",P31=""),"",P31/P$9)</f>
        <v/>
      </c>
      <c r="AH31" s="9">
        <f>IF(OR(Q$9="",Q31=""),"",Q31/Q$9)</f>
        <v/>
      </c>
      <c r="AI31" s="9">
        <f>IF(OR(R$9="",R31=""),"",R31/R$9)</f>
        <v/>
      </c>
    </row>
    <row r="32">
      <c r="A32" s="5" t="inlineStr">
        <is>
          <t xml:space="preserve">   General Expenses</t>
        </is>
      </c>
      <c r="B32" s="6" t="inlineStr">
        <is>
          <t>3.8</t>
        </is>
      </c>
      <c r="C32" s="7" t="n">
        <v>157665</v>
      </c>
      <c r="D32" s="7" t="n">
        <v>942407</v>
      </c>
      <c r="E32" s="7" t="n">
        <v>483185.5</v>
      </c>
      <c r="F32" s="7" t="n">
        <v>290638.68</v>
      </c>
      <c r="G32" s="7" t="n">
        <v>575401.25</v>
      </c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>
        <f>IF(COUNT(C32:R32)=0,"",SUM(C32:R32))</f>
        <v/>
      </c>
      <c r="T32" s="9">
        <f>IF(OR(C$9="",C32=""),"",C32/C$9)</f>
        <v/>
      </c>
      <c r="U32" s="9">
        <f>IF(OR(D$9="",D32=""),"",D32/D$9)</f>
        <v/>
      </c>
      <c r="V32" s="9">
        <f>IF(OR(E$9="",E32=""),"",E32/E$9)</f>
        <v/>
      </c>
      <c r="W32" s="9">
        <f>IF(OR(F$9="",F32=""),"",F32/F$9)</f>
        <v/>
      </c>
      <c r="X32" s="9">
        <f>IF(OR(G$9="",G32=""),"",G32/G$9)</f>
        <v/>
      </c>
      <c r="Y32" s="9">
        <f>IF(OR(H$9="",H32=""),"",H32/H$9)</f>
        <v/>
      </c>
      <c r="Z32" s="9">
        <f>IF(OR(I$9="",I32=""),"",I32/I$9)</f>
        <v/>
      </c>
      <c r="AA32" s="9">
        <f>IF(OR(J$9="",J32=""),"",J32/J$9)</f>
        <v/>
      </c>
      <c r="AB32" s="9">
        <f>IF(OR(K$9="",K32=""),"",K32/K$9)</f>
        <v/>
      </c>
      <c r="AC32" s="9">
        <f>IF(OR(L$9="",L32=""),"",L32/L$9)</f>
        <v/>
      </c>
      <c r="AD32" s="9">
        <f>IF(OR(M$9="",M32=""),"",M32/M$9)</f>
        <v/>
      </c>
      <c r="AE32" s="9">
        <f>IF(OR(N$9="",N32=""),"",N32/N$9)</f>
        <v/>
      </c>
      <c r="AF32" s="9">
        <f>IF(OR(O$9="",O32=""),"",O32/O$9)</f>
        <v/>
      </c>
      <c r="AG32" s="9">
        <f>IF(OR(P$9="",P32=""),"",P32/P$9)</f>
        <v/>
      </c>
      <c r="AH32" s="9">
        <f>IF(OR(Q$9="",Q32=""),"",Q32/Q$9)</f>
        <v/>
      </c>
      <c r="AI32" s="9">
        <f>IF(OR(R$9="",R32=""),"",R32/R$9)</f>
        <v/>
      </c>
    </row>
    <row r="33">
      <c r="A33" s="5" t="inlineStr">
        <is>
          <t xml:space="preserve">   Builty &amp; Cargo</t>
        </is>
      </c>
      <c r="B33" s="6" t="inlineStr">
        <is>
          <t>3.9</t>
        </is>
      </c>
      <c r="C33" s="7" t="n">
        <v>0</v>
      </c>
      <c r="D33" s="7" t="n">
        <v>0</v>
      </c>
      <c r="E33" s="7" t="n">
        <v>0</v>
      </c>
      <c r="F33" s="7" t="n">
        <v>500</v>
      </c>
      <c r="G33" s="7" t="n">
        <v>0</v>
      </c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>
        <f>IF(COUNT(C33:R33)=0,"",SUM(C33:R33))</f>
        <v/>
      </c>
      <c r="T33" s="9">
        <f>IF(OR(C$9="",C33=""),"",C33/C$9)</f>
        <v/>
      </c>
      <c r="U33" s="9">
        <f>IF(OR(D$9="",D33=""),"",D33/D$9)</f>
        <v/>
      </c>
      <c r="V33" s="9">
        <f>IF(OR(E$9="",E33=""),"",E33/E$9)</f>
        <v/>
      </c>
      <c r="W33" s="9">
        <f>IF(OR(F$9="",F33=""),"",F33/F$9)</f>
        <v/>
      </c>
      <c r="X33" s="9">
        <f>IF(OR(G$9="",G33=""),"",G33/G$9)</f>
        <v/>
      </c>
      <c r="Y33" s="9">
        <f>IF(OR(H$9="",H33=""),"",H33/H$9)</f>
        <v/>
      </c>
      <c r="Z33" s="9">
        <f>IF(OR(I$9="",I33=""),"",I33/I$9)</f>
        <v/>
      </c>
      <c r="AA33" s="9">
        <f>IF(OR(J$9="",J33=""),"",J33/J$9)</f>
        <v/>
      </c>
      <c r="AB33" s="9">
        <f>IF(OR(K$9="",K33=""),"",K33/K$9)</f>
        <v/>
      </c>
      <c r="AC33" s="9">
        <f>IF(OR(L$9="",L33=""),"",L33/L$9)</f>
        <v/>
      </c>
      <c r="AD33" s="9">
        <f>IF(OR(M$9="",M33=""),"",M33/M$9)</f>
        <v/>
      </c>
      <c r="AE33" s="9">
        <f>IF(OR(N$9="",N33=""),"",N33/N$9)</f>
        <v/>
      </c>
      <c r="AF33" s="9">
        <f>IF(OR(O$9="",O33=""),"",O33/O$9)</f>
        <v/>
      </c>
      <c r="AG33" s="9">
        <f>IF(OR(P$9="",P33=""),"",P33/P$9)</f>
        <v/>
      </c>
      <c r="AH33" s="9">
        <f>IF(OR(Q$9="",Q33=""),"",Q33/Q$9)</f>
        <v/>
      </c>
      <c r="AI33" s="9">
        <f>IF(OR(R$9="",R33=""),"",R33/R$9)</f>
        <v/>
      </c>
    </row>
    <row r="34">
      <c r="A34" s="14" t="inlineStr">
        <is>
          <t>Total Selling Expenses</t>
        </is>
      </c>
      <c r="B34" s="15" t="inlineStr">
        <is>
          <t>3</t>
        </is>
      </c>
      <c r="C34" s="16">
        <f>IF(COUNT(C25:C33)=0,"",SUM(C25:C33))</f>
        <v/>
      </c>
      <c r="D34" s="16">
        <f>IF(COUNT(D25:D33)=0,"",SUM(D25:D33))</f>
        <v/>
      </c>
      <c r="E34" s="16">
        <f>IF(COUNT(E25:E33)=0,"",SUM(E25:E33))</f>
        <v/>
      </c>
      <c r="F34" s="16">
        <f>IF(COUNT(F25:F33)=0,"",SUM(F25:F33))</f>
        <v/>
      </c>
      <c r="G34" s="16">
        <f>IF(COUNT(G25:G33)=0,"",SUM(G25:G33))</f>
        <v/>
      </c>
      <c r="H34" s="16">
        <f>IF(COUNT(H25:H33)=0,"",SUM(H25:H33))</f>
        <v/>
      </c>
      <c r="I34" s="16">
        <f>IF(COUNT(I25:I33)=0,"",SUM(I25:I33))</f>
        <v/>
      </c>
      <c r="J34" s="16">
        <f>IF(COUNT(J25:J33)=0,"",SUM(J25:J33))</f>
        <v/>
      </c>
      <c r="K34" s="16">
        <f>IF(COUNT(K25:K33)=0,"",SUM(K25:K33))</f>
        <v/>
      </c>
      <c r="L34" s="16">
        <f>IF(COUNT(L25:L33)=0,"",SUM(L25:L33))</f>
        <v/>
      </c>
      <c r="M34" s="16">
        <f>IF(COUNT(M25:M33)=0,"",SUM(M25:M33))</f>
        <v/>
      </c>
      <c r="N34" s="16">
        <f>IF(COUNT(N25:N33)=0,"",SUM(N25:N33))</f>
        <v/>
      </c>
      <c r="O34" s="16">
        <f>IF(COUNT(O25:O33)=0,"",SUM(O25:O33))</f>
        <v/>
      </c>
      <c r="P34" s="16">
        <f>IF(COUNT(P25:P33)=0,"",SUM(P25:P33))</f>
        <v/>
      </c>
      <c r="Q34" s="16">
        <f>IF(COUNT(Q25:Q33)=0,"",SUM(Q25:Q33))</f>
        <v/>
      </c>
      <c r="R34" s="16">
        <f>IF(COUNT(R25:R33)=0,"",SUM(R25:R33))</f>
        <v/>
      </c>
      <c r="S34" s="16">
        <f>IF(COUNT(C34:R34)=0,"",SUM(C34:R34))</f>
        <v/>
      </c>
      <c r="T34" s="17">
        <f>IF(OR(C$9="",C34=""),"",C34/C$9)</f>
        <v/>
      </c>
      <c r="U34" s="17">
        <f>IF(OR(D$9="",D34=""),"",D34/D$9)</f>
        <v/>
      </c>
      <c r="V34" s="17">
        <f>IF(OR(E$9="",E34=""),"",E34/E$9)</f>
        <v/>
      </c>
      <c r="W34" s="17">
        <f>IF(OR(F$9="",F34=""),"",F34/F$9)</f>
        <v/>
      </c>
      <c r="X34" s="17">
        <f>IF(OR(G$9="",G34=""),"",G34/G$9)</f>
        <v/>
      </c>
      <c r="Y34" s="17">
        <f>IF(OR(H$9="",H34=""),"",H34/H$9)</f>
        <v/>
      </c>
      <c r="Z34" s="17">
        <f>IF(OR(I$9="",I34=""),"",I34/I$9)</f>
        <v/>
      </c>
      <c r="AA34" s="17">
        <f>IF(OR(J$9="",J34=""),"",J34/J$9)</f>
        <v/>
      </c>
      <c r="AB34" s="17">
        <f>IF(OR(K$9="",K34=""),"",K34/K$9)</f>
        <v/>
      </c>
      <c r="AC34" s="17">
        <f>IF(OR(L$9="",L34=""),"",L34/L$9)</f>
        <v/>
      </c>
      <c r="AD34" s="17">
        <f>IF(OR(M$9="",M34=""),"",M34/M$9)</f>
        <v/>
      </c>
      <c r="AE34" s="17">
        <f>IF(OR(N$9="",N34=""),"",N34/N$9)</f>
        <v/>
      </c>
      <c r="AF34" s="17">
        <f>IF(OR(O$9="",O34=""),"",O34/O$9)</f>
        <v/>
      </c>
      <c r="AG34" s="17">
        <f>IF(OR(P$9="",P34=""),"",P34/P$9)</f>
        <v/>
      </c>
      <c r="AH34" s="17">
        <f>IF(OR(Q$9="",Q34=""),"",Q34/Q$9)</f>
        <v/>
      </c>
      <c r="AI34" s="17">
        <f>IF(OR(R$9="",R34=""),"",R34/R$9)</f>
        <v/>
      </c>
    </row>
    <row r="35"/>
    <row r="36">
      <c r="A36" s="4" t="inlineStr">
        <is>
          <t>ADMINISTRATIVE EXPENSES (EXCL. TAX)</t>
        </is>
      </c>
    </row>
    <row r="37">
      <c r="A37" s="5" t="inlineStr">
        <is>
          <t xml:space="preserve">   Salaries Wages &amp; Other Benefits</t>
        </is>
      </c>
      <c r="B37" s="6" t="inlineStr">
        <is>
          <t>4.1</t>
        </is>
      </c>
      <c r="C37" s="7" t="n">
        <v>4564648</v>
      </c>
      <c r="D37" s="7" t="n">
        <v>7688609</v>
      </c>
      <c r="E37" s="7" t="n">
        <v>9126515.379999999</v>
      </c>
      <c r="F37" s="7" t="n">
        <v>8941961.9</v>
      </c>
      <c r="G37" s="7" t="n">
        <v>9553069.390000001</v>
      </c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>
        <f>IF(COUNT(C37:R37)=0,"",SUM(C37:R37))</f>
        <v/>
      </c>
      <c r="T37" s="9">
        <f>IF(OR(C$9="",C37=""),"",C37/C$9)</f>
        <v/>
      </c>
      <c r="U37" s="9">
        <f>IF(OR(D$9="",D37=""),"",D37/D$9)</f>
        <v/>
      </c>
      <c r="V37" s="9">
        <f>IF(OR(E$9="",E37=""),"",E37/E$9)</f>
        <v/>
      </c>
      <c r="W37" s="9">
        <f>IF(OR(F$9="",F37=""),"",F37/F$9)</f>
        <v/>
      </c>
      <c r="X37" s="9">
        <f>IF(OR(G$9="",G37=""),"",G37/G$9)</f>
        <v/>
      </c>
      <c r="Y37" s="9">
        <f>IF(OR(H$9="",H37=""),"",H37/H$9)</f>
        <v/>
      </c>
      <c r="Z37" s="9">
        <f>IF(OR(I$9="",I37=""),"",I37/I$9)</f>
        <v/>
      </c>
      <c r="AA37" s="9">
        <f>IF(OR(J$9="",J37=""),"",J37/J$9)</f>
        <v/>
      </c>
      <c r="AB37" s="9">
        <f>IF(OR(K$9="",K37=""),"",K37/K$9)</f>
        <v/>
      </c>
      <c r="AC37" s="9">
        <f>IF(OR(L$9="",L37=""),"",L37/L$9)</f>
        <v/>
      </c>
      <c r="AD37" s="9">
        <f>IF(OR(M$9="",M37=""),"",M37/M$9)</f>
        <v/>
      </c>
      <c r="AE37" s="9">
        <f>IF(OR(N$9="",N37=""),"",N37/N$9)</f>
        <v/>
      </c>
      <c r="AF37" s="9">
        <f>IF(OR(O$9="",O37=""),"",O37/O$9)</f>
        <v/>
      </c>
      <c r="AG37" s="9">
        <f>IF(OR(P$9="",P37=""),"",P37/P$9)</f>
        <v/>
      </c>
      <c r="AH37" s="9">
        <f>IF(OR(Q$9="",Q37=""),"",Q37/Q$9)</f>
        <v/>
      </c>
      <c r="AI37" s="9">
        <f>IF(OR(R$9="",R37=""),"",R37/R$9)</f>
        <v/>
      </c>
    </row>
    <row r="38">
      <c r="A38" s="5" t="inlineStr">
        <is>
          <t xml:space="preserve">   Repair &amp; Maintenance</t>
        </is>
      </c>
      <c r="B38" s="6" t="inlineStr">
        <is>
          <t>4.11</t>
        </is>
      </c>
      <c r="C38" s="7" t="n">
        <v>129286</v>
      </c>
      <c r="D38" s="7" t="n">
        <v>373489</v>
      </c>
      <c r="E38" s="7" t="n">
        <v>777641.55</v>
      </c>
      <c r="F38" s="7" t="n">
        <v>614311.39</v>
      </c>
      <c r="G38" s="7" t="n">
        <v>551978.48</v>
      </c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>
        <f>IF(COUNT(C38:R38)=0,"",SUM(C38:R38))</f>
        <v/>
      </c>
      <c r="T38" s="9">
        <f>IF(OR(C$9="",C38=""),"",C38/C$9)</f>
        <v/>
      </c>
      <c r="U38" s="9">
        <f>IF(OR(D$9="",D38=""),"",D38/D$9)</f>
        <v/>
      </c>
      <c r="V38" s="9">
        <f>IF(OR(E$9="",E38=""),"",E38/E$9)</f>
        <v/>
      </c>
      <c r="W38" s="9">
        <f>IF(OR(F$9="",F38=""),"",F38/F$9)</f>
        <v/>
      </c>
      <c r="X38" s="9">
        <f>IF(OR(G$9="",G38=""),"",G38/G$9)</f>
        <v/>
      </c>
      <c r="Y38" s="9">
        <f>IF(OR(H$9="",H38=""),"",H38/H$9)</f>
        <v/>
      </c>
      <c r="Z38" s="9">
        <f>IF(OR(I$9="",I38=""),"",I38/I$9)</f>
        <v/>
      </c>
      <c r="AA38" s="9">
        <f>IF(OR(J$9="",J38=""),"",J38/J$9)</f>
        <v/>
      </c>
      <c r="AB38" s="9">
        <f>IF(OR(K$9="",K38=""),"",K38/K$9)</f>
        <v/>
      </c>
      <c r="AC38" s="9">
        <f>IF(OR(L$9="",L38=""),"",L38/L$9)</f>
        <v/>
      </c>
      <c r="AD38" s="9">
        <f>IF(OR(M$9="",M38=""),"",M38/M$9)</f>
        <v/>
      </c>
      <c r="AE38" s="9">
        <f>IF(OR(N$9="",N38=""),"",N38/N$9)</f>
        <v/>
      </c>
      <c r="AF38" s="9">
        <f>IF(OR(O$9="",O38=""),"",O38/O$9)</f>
        <v/>
      </c>
      <c r="AG38" s="9">
        <f>IF(OR(P$9="",P38=""),"",P38/P$9)</f>
        <v/>
      </c>
      <c r="AH38" s="9">
        <f>IF(OR(Q$9="",Q38=""),"",Q38/Q$9)</f>
        <v/>
      </c>
      <c r="AI38" s="9">
        <f>IF(OR(R$9="",R38=""),"",R38/R$9)</f>
        <v/>
      </c>
    </row>
    <row r="39">
      <c r="A39" s="5" t="inlineStr">
        <is>
          <t xml:space="preserve">   Fee And Subscription</t>
        </is>
      </c>
      <c r="B39" s="6" t="inlineStr">
        <is>
          <t>4.12</t>
        </is>
      </c>
      <c r="C39" s="7" t="n">
        <v>183333</v>
      </c>
      <c r="D39" s="7" t="n">
        <v>212217</v>
      </c>
      <c r="E39" s="7" t="n">
        <v>185783</v>
      </c>
      <c r="F39" s="7" t="n">
        <v>175988</v>
      </c>
      <c r="G39" s="7" t="n">
        <v>276732</v>
      </c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>
        <f>IF(COUNT(C39:R39)=0,"",SUM(C39:R39))</f>
        <v/>
      </c>
      <c r="T39" s="9">
        <f>IF(OR(C$9="",C39=""),"",C39/C$9)</f>
        <v/>
      </c>
      <c r="U39" s="9">
        <f>IF(OR(D$9="",D39=""),"",D39/D$9)</f>
        <v/>
      </c>
      <c r="V39" s="9">
        <f>IF(OR(E$9="",E39=""),"",E39/E$9)</f>
        <v/>
      </c>
      <c r="W39" s="9">
        <f>IF(OR(F$9="",F39=""),"",F39/F$9)</f>
        <v/>
      </c>
      <c r="X39" s="9">
        <f>IF(OR(G$9="",G39=""),"",G39/G$9)</f>
        <v/>
      </c>
      <c r="Y39" s="9">
        <f>IF(OR(H$9="",H39=""),"",H39/H$9)</f>
        <v/>
      </c>
      <c r="Z39" s="9">
        <f>IF(OR(I$9="",I39=""),"",I39/I$9)</f>
        <v/>
      </c>
      <c r="AA39" s="9">
        <f>IF(OR(J$9="",J39=""),"",J39/J$9)</f>
        <v/>
      </c>
      <c r="AB39" s="9">
        <f>IF(OR(K$9="",K39=""),"",K39/K$9)</f>
        <v/>
      </c>
      <c r="AC39" s="9">
        <f>IF(OR(L$9="",L39=""),"",L39/L$9)</f>
        <v/>
      </c>
      <c r="AD39" s="9">
        <f>IF(OR(M$9="",M39=""),"",M39/M$9)</f>
        <v/>
      </c>
      <c r="AE39" s="9">
        <f>IF(OR(N$9="",N39=""),"",N39/N$9)</f>
        <v/>
      </c>
      <c r="AF39" s="9">
        <f>IF(OR(O$9="",O39=""),"",O39/O$9)</f>
        <v/>
      </c>
      <c r="AG39" s="9">
        <f>IF(OR(P$9="",P39=""),"",P39/P$9)</f>
        <v/>
      </c>
      <c r="AH39" s="9">
        <f>IF(OR(Q$9="",Q39=""),"",Q39/Q$9)</f>
        <v/>
      </c>
      <c r="AI39" s="9">
        <f>IF(OR(R$9="",R39=""),"",R39/R$9)</f>
        <v/>
      </c>
    </row>
    <row r="40">
      <c r="A40" s="5" t="inlineStr">
        <is>
          <t xml:space="preserve">   Charity and Donation</t>
        </is>
      </c>
      <c r="B40" s="6" t="inlineStr">
        <is>
          <t>4.13</t>
        </is>
      </c>
      <c r="C40" s="7" t="n">
        <v>159138</v>
      </c>
      <c r="D40" s="7" t="n">
        <v>284608</v>
      </c>
      <c r="E40" s="7" t="n">
        <v>580723</v>
      </c>
      <c r="F40" s="7" t="n">
        <v>337801</v>
      </c>
      <c r="G40" s="7" t="n">
        <v>311788</v>
      </c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>
        <f>IF(COUNT(C40:R40)=0,"",SUM(C40:R40))</f>
        <v/>
      </c>
      <c r="T40" s="9">
        <f>IF(OR(C$9="",C40=""),"",C40/C$9)</f>
        <v/>
      </c>
      <c r="U40" s="9">
        <f>IF(OR(D$9="",D40=""),"",D40/D$9)</f>
        <v/>
      </c>
      <c r="V40" s="9">
        <f>IF(OR(E$9="",E40=""),"",E40/E$9)</f>
        <v/>
      </c>
      <c r="W40" s="9">
        <f>IF(OR(F$9="",F40=""),"",F40/F$9)</f>
        <v/>
      </c>
      <c r="X40" s="9">
        <f>IF(OR(G$9="",G40=""),"",G40/G$9)</f>
        <v/>
      </c>
      <c r="Y40" s="9">
        <f>IF(OR(H$9="",H40=""),"",H40/H$9)</f>
        <v/>
      </c>
      <c r="Z40" s="9">
        <f>IF(OR(I$9="",I40=""),"",I40/I$9)</f>
        <v/>
      </c>
      <c r="AA40" s="9">
        <f>IF(OR(J$9="",J40=""),"",J40/J$9)</f>
        <v/>
      </c>
      <c r="AB40" s="9">
        <f>IF(OR(K$9="",K40=""),"",K40/K$9)</f>
        <v/>
      </c>
      <c r="AC40" s="9">
        <f>IF(OR(L$9="",L40=""),"",L40/L$9)</f>
        <v/>
      </c>
      <c r="AD40" s="9">
        <f>IF(OR(M$9="",M40=""),"",M40/M$9)</f>
        <v/>
      </c>
      <c r="AE40" s="9">
        <f>IF(OR(N$9="",N40=""),"",N40/N$9)</f>
        <v/>
      </c>
      <c r="AF40" s="9">
        <f>IF(OR(O$9="",O40=""),"",O40/O$9)</f>
        <v/>
      </c>
      <c r="AG40" s="9">
        <f>IF(OR(P$9="",P40=""),"",P40/P$9)</f>
        <v/>
      </c>
      <c r="AH40" s="9">
        <f>IF(OR(Q$9="",Q40=""),"",Q40/Q$9)</f>
        <v/>
      </c>
      <c r="AI40" s="9">
        <f>IF(OR(R$9="",R40=""),"",R40/R$9)</f>
        <v/>
      </c>
    </row>
    <row r="41">
      <c r="A41" s="5" t="inlineStr">
        <is>
          <t xml:space="preserve">   Rent Rates</t>
        </is>
      </c>
      <c r="B41" s="6" t="inlineStr">
        <is>
          <t>4.14</t>
        </is>
      </c>
      <c r="C41" s="7" t="n">
        <v>721339</v>
      </c>
      <c r="D41" s="7" t="n">
        <v>1245555</v>
      </c>
      <c r="E41" s="7" t="n">
        <v>1233105</v>
      </c>
      <c r="F41" s="7" t="n">
        <v>1233105</v>
      </c>
      <c r="G41" s="7" t="n">
        <v>1233105</v>
      </c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>
        <f>IF(COUNT(C41:R41)=0,"",SUM(C41:R41))</f>
        <v/>
      </c>
      <c r="T41" s="9">
        <f>IF(OR(C$9="",C41=""),"",C41/C$9)</f>
        <v/>
      </c>
      <c r="U41" s="9">
        <f>IF(OR(D$9="",D41=""),"",D41/D$9)</f>
        <v/>
      </c>
      <c r="V41" s="9">
        <f>IF(OR(E$9="",E41=""),"",E41/E$9)</f>
        <v/>
      </c>
      <c r="W41" s="9">
        <f>IF(OR(F$9="",F41=""),"",F41/F$9)</f>
        <v/>
      </c>
      <c r="X41" s="9">
        <f>IF(OR(G$9="",G41=""),"",G41/G$9)</f>
        <v/>
      </c>
      <c r="Y41" s="9">
        <f>IF(OR(H$9="",H41=""),"",H41/H$9)</f>
        <v/>
      </c>
      <c r="Z41" s="9">
        <f>IF(OR(I$9="",I41=""),"",I41/I$9)</f>
        <v/>
      </c>
      <c r="AA41" s="9">
        <f>IF(OR(J$9="",J41=""),"",J41/J$9)</f>
        <v/>
      </c>
      <c r="AB41" s="9">
        <f>IF(OR(K$9="",K41=""),"",K41/K$9)</f>
        <v/>
      </c>
      <c r="AC41" s="9">
        <f>IF(OR(L$9="",L41=""),"",L41/L$9)</f>
        <v/>
      </c>
      <c r="AD41" s="9">
        <f>IF(OR(M$9="",M41=""),"",M41/M$9)</f>
        <v/>
      </c>
      <c r="AE41" s="9">
        <f>IF(OR(N$9="",N41=""),"",N41/N$9)</f>
        <v/>
      </c>
      <c r="AF41" s="9">
        <f>IF(OR(O$9="",O41=""),"",O41/O$9)</f>
        <v/>
      </c>
      <c r="AG41" s="9">
        <f>IF(OR(P$9="",P41=""),"",P41/P$9)</f>
        <v/>
      </c>
      <c r="AH41" s="9">
        <f>IF(OR(Q$9="",Q41=""),"",Q41/Q$9)</f>
        <v/>
      </c>
      <c r="AI41" s="9">
        <f>IF(OR(R$9="",R41=""),"",R41/R$9)</f>
        <v/>
      </c>
    </row>
    <row r="42">
      <c r="A42" s="5" t="inlineStr">
        <is>
          <t xml:space="preserve">   Entertainment</t>
        </is>
      </c>
      <c r="B42" s="6" t="inlineStr">
        <is>
          <t>4.15</t>
        </is>
      </c>
      <c r="C42" s="7" t="n">
        <v>50621</v>
      </c>
      <c r="D42" s="7" t="n">
        <v>300</v>
      </c>
      <c r="E42" s="7" t="n">
        <v>23235.33</v>
      </c>
      <c r="F42" s="7" t="n">
        <v>69454.74000000001</v>
      </c>
      <c r="G42" s="7" t="n">
        <v>96570.14999999999</v>
      </c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>
        <f>IF(COUNT(C42:R42)=0,"",SUM(C42:R42))</f>
        <v/>
      </c>
      <c r="T42" s="9">
        <f>IF(OR(C$9="",C42=""),"",C42/C$9)</f>
        <v/>
      </c>
      <c r="U42" s="9">
        <f>IF(OR(D$9="",D42=""),"",D42/D$9)</f>
        <v/>
      </c>
      <c r="V42" s="9">
        <f>IF(OR(E$9="",E42=""),"",E42/E$9)</f>
        <v/>
      </c>
      <c r="W42" s="9">
        <f>IF(OR(F$9="",F42=""),"",F42/F$9)</f>
        <v/>
      </c>
      <c r="X42" s="9">
        <f>IF(OR(G$9="",G42=""),"",G42/G$9)</f>
        <v/>
      </c>
      <c r="Y42" s="9">
        <f>IF(OR(H$9="",H42=""),"",H42/H$9)</f>
        <v/>
      </c>
      <c r="Z42" s="9">
        <f>IF(OR(I$9="",I42=""),"",I42/I$9)</f>
        <v/>
      </c>
      <c r="AA42" s="9">
        <f>IF(OR(J$9="",J42=""),"",J42/J$9)</f>
        <v/>
      </c>
      <c r="AB42" s="9">
        <f>IF(OR(K$9="",K42=""),"",K42/K$9)</f>
        <v/>
      </c>
      <c r="AC42" s="9">
        <f>IF(OR(L$9="",L42=""),"",L42/L$9)</f>
        <v/>
      </c>
      <c r="AD42" s="9">
        <f>IF(OR(M$9="",M42=""),"",M42/M$9)</f>
        <v/>
      </c>
      <c r="AE42" s="9">
        <f>IF(OR(N$9="",N42=""),"",N42/N$9)</f>
        <v/>
      </c>
      <c r="AF42" s="9">
        <f>IF(OR(O$9="",O42=""),"",O42/O$9)</f>
        <v/>
      </c>
      <c r="AG42" s="9">
        <f>IF(OR(P$9="",P42=""),"",P42/P$9)</f>
        <v/>
      </c>
      <c r="AH42" s="9">
        <f>IF(OR(Q$9="",Q42=""),"",Q42/Q$9)</f>
        <v/>
      </c>
      <c r="AI42" s="9">
        <f>IF(OR(R$9="",R42=""),"",R42/R$9)</f>
        <v/>
      </c>
    </row>
    <row r="43">
      <c r="A43" s="5" t="inlineStr">
        <is>
          <t xml:space="preserve">   Utilities</t>
        </is>
      </c>
      <c r="B43" s="6" t="inlineStr">
        <is>
          <t>4.16</t>
        </is>
      </c>
      <c r="C43" s="7" t="n">
        <v>61040</v>
      </c>
      <c r="D43" s="7" t="n">
        <v>372842</v>
      </c>
      <c r="E43" s="7" t="n">
        <v>593488</v>
      </c>
      <c r="F43" s="7" t="n">
        <v>694532</v>
      </c>
      <c r="G43" s="7" t="n">
        <v>762231</v>
      </c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>
        <f>IF(COUNT(C43:R43)=0,"",SUM(C43:R43))</f>
        <v/>
      </c>
      <c r="T43" s="9">
        <f>IF(OR(C$9="",C43=""),"",C43/C$9)</f>
        <v/>
      </c>
      <c r="U43" s="9">
        <f>IF(OR(D$9="",D43=""),"",D43/D$9)</f>
        <v/>
      </c>
      <c r="V43" s="9">
        <f>IF(OR(E$9="",E43=""),"",E43/E$9)</f>
        <v/>
      </c>
      <c r="W43" s="9">
        <f>IF(OR(F$9="",F43=""),"",F43/F$9)</f>
        <v/>
      </c>
      <c r="X43" s="9">
        <f>IF(OR(G$9="",G43=""),"",G43/G$9)</f>
        <v/>
      </c>
      <c r="Y43" s="9">
        <f>IF(OR(H$9="",H43=""),"",H43/H$9)</f>
        <v/>
      </c>
      <c r="Z43" s="9">
        <f>IF(OR(I$9="",I43=""),"",I43/I$9)</f>
        <v/>
      </c>
      <c r="AA43" s="9">
        <f>IF(OR(J$9="",J43=""),"",J43/J$9)</f>
        <v/>
      </c>
      <c r="AB43" s="9">
        <f>IF(OR(K$9="",K43=""),"",K43/K$9)</f>
        <v/>
      </c>
      <c r="AC43" s="9">
        <f>IF(OR(L$9="",L43=""),"",L43/L$9)</f>
        <v/>
      </c>
      <c r="AD43" s="9">
        <f>IF(OR(M$9="",M43=""),"",M43/M$9)</f>
        <v/>
      </c>
      <c r="AE43" s="9">
        <f>IF(OR(N$9="",N43=""),"",N43/N$9)</f>
        <v/>
      </c>
      <c r="AF43" s="9">
        <f>IF(OR(O$9="",O43=""),"",O43/O$9)</f>
        <v/>
      </c>
      <c r="AG43" s="9">
        <f>IF(OR(P$9="",P43=""),"",P43/P$9)</f>
        <v/>
      </c>
      <c r="AH43" s="9">
        <f>IF(OR(Q$9="",Q43=""),"",Q43/Q$9)</f>
        <v/>
      </c>
      <c r="AI43" s="9">
        <f>IF(OR(R$9="",R43=""),"",R43/R$9)</f>
        <v/>
      </c>
    </row>
    <row r="44">
      <c r="A44" s="5" t="inlineStr">
        <is>
          <t xml:space="preserve">   Printing &amp; Stationary</t>
        </is>
      </c>
      <c r="B44" s="6" t="inlineStr">
        <is>
          <t>4.17</t>
        </is>
      </c>
      <c r="C44" s="7" t="n">
        <v>37241</v>
      </c>
      <c r="D44" s="7" t="n">
        <v>68416</v>
      </c>
      <c r="E44" s="7" t="n">
        <v>47713.6</v>
      </c>
      <c r="F44" s="7" t="n">
        <v>19645.81</v>
      </c>
      <c r="G44" s="7" t="n">
        <v>22561.89</v>
      </c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>
        <f>IF(COUNT(C44:R44)=0,"",SUM(C44:R44))</f>
        <v/>
      </c>
      <c r="T44" s="9">
        <f>IF(OR(C$9="",C44=""),"",C44/C$9)</f>
        <v/>
      </c>
      <c r="U44" s="9">
        <f>IF(OR(D$9="",D44=""),"",D44/D$9)</f>
        <v/>
      </c>
      <c r="V44" s="9">
        <f>IF(OR(E$9="",E44=""),"",E44/E$9)</f>
        <v/>
      </c>
      <c r="W44" s="9">
        <f>IF(OR(F$9="",F44=""),"",F44/F$9)</f>
        <v/>
      </c>
      <c r="X44" s="9">
        <f>IF(OR(G$9="",G44=""),"",G44/G$9)</f>
        <v/>
      </c>
      <c r="Y44" s="9">
        <f>IF(OR(H$9="",H44=""),"",H44/H$9)</f>
        <v/>
      </c>
      <c r="Z44" s="9">
        <f>IF(OR(I$9="",I44=""),"",I44/I$9)</f>
        <v/>
      </c>
      <c r="AA44" s="9">
        <f>IF(OR(J$9="",J44=""),"",J44/J$9)</f>
        <v/>
      </c>
      <c r="AB44" s="9">
        <f>IF(OR(K$9="",K44=""),"",K44/K$9)</f>
        <v/>
      </c>
      <c r="AC44" s="9">
        <f>IF(OR(L$9="",L44=""),"",L44/L$9)</f>
        <v/>
      </c>
      <c r="AD44" s="9">
        <f>IF(OR(M$9="",M44=""),"",M44/M$9)</f>
        <v/>
      </c>
      <c r="AE44" s="9">
        <f>IF(OR(N$9="",N44=""),"",N44/N$9)</f>
        <v/>
      </c>
      <c r="AF44" s="9">
        <f>IF(OR(O$9="",O44=""),"",O44/O$9)</f>
        <v/>
      </c>
      <c r="AG44" s="9">
        <f>IF(OR(P$9="",P44=""),"",P44/P$9)</f>
        <v/>
      </c>
      <c r="AH44" s="9">
        <f>IF(OR(Q$9="",Q44=""),"",Q44/Q$9)</f>
        <v/>
      </c>
      <c r="AI44" s="9">
        <f>IF(OR(R$9="",R44=""),"",R44/R$9)</f>
        <v/>
      </c>
    </row>
    <row r="45">
      <c r="A45" s="5" t="inlineStr">
        <is>
          <t xml:space="preserve">   Vehicle Running Expense</t>
        </is>
      </c>
      <c r="B45" s="6" t="inlineStr">
        <is>
          <t>4.18</t>
        </is>
      </c>
      <c r="C45" s="7" t="n">
        <v>80553</v>
      </c>
      <c r="D45" s="7" t="n">
        <v>23667</v>
      </c>
      <c r="E45" s="7" t="n">
        <v>9533.08</v>
      </c>
      <c r="F45" s="7" t="n">
        <v>10510.84</v>
      </c>
      <c r="G45" s="7" t="n">
        <v>5577.57</v>
      </c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>
        <f>IF(COUNT(C45:R45)=0,"",SUM(C45:R45))</f>
        <v/>
      </c>
      <c r="T45" s="9">
        <f>IF(OR(C$9="",C45=""),"",C45/C$9)</f>
        <v/>
      </c>
      <c r="U45" s="9">
        <f>IF(OR(D$9="",D45=""),"",D45/D$9)</f>
        <v/>
      </c>
      <c r="V45" s="9">
        <f>IF(OR(E$9="",E45=""),"",E45/E$9)</f>
        <v/>
      </c>
      <c r="W45" s="9">
        <f>IF(OR(F$9="",F45=""),"",F45/F$9)</f>
        <v/>
      </c>
      <c r="X45" s="9">
        <f>IF(OR(G$9="",G45=""),"",G45/G$9)</f>
        <v/>
      </c>
      <c r="Y45" s="9">
        <f>IF(OR(H$9="",H45=""),"",H45/H$9)</f>
        <v/>
      </c>
      <c r="Z45" s="9">
        <f>IF(OR(I$9="",I45=""),"",I45/I$9)</f>
        <v/>
      </c>
      <c r="AA45" s="9">
        <f>IF(OR(J$9="",J45=""),"",J45/J$9)</f>
        <v/>
      </c>
      <c r="AB45" s="9">
        <f>IF(OR(K$9="",K45=""),"",K45/K$9)</f>
        <v/>
      </c>
      <c r="AC45" s="9">
        <f>IF(OR(L$9="",L45=""),"",L45/L$9)</f>
        <v/>
      </c>
      <c r="AD45" s="9">
        <f>IF(OR(M$9="",M45=""),"",M45/M$9)</f>
        <v/>
      </c>
      <c r="AE45" s="9">
        <f>IF(OR(N$9="",N45=""),"",N45/N$9)</f>
        <v/>
      </c>
      <c r="AF45" s="9">
        <f>IF(OR(O$9="",O45=""),"",O45/O$9)</f>
        <v/>
      </c>
      <c r="AG45" s="9">
        <f>IF(OR(P$9="",P45=""),"",P45/P$9)</f>
        <v/>
      </c>
      <c r="AH45" s="9">
        <f>IF(OR(Q$9="",Q45=""),"",Q45/Q$9)</f>
        <v/>
      </c>
      <c r="AI45" s="9">
        <f>IF(OR(R$9="",R45=""),"",R45/R$9)</f>
        <v/>
      </c>
    </row>
    <row r="46">
      <c r="A46" s="5" t="inlineStr">
        <is>
          <t xml:space="preserve">   Misc Admin Expenses</t>
        </is>
      </c>
      <c r="B46" s="6" t="inlineStr">
        <is>
          <t>4.19</t>
        </is>
      </c>
      <c r="C46" s="7" t="n">
        <v>2699244</v>
      </c>
      <c r="D46" s="7" t="n">
        <v>3979018</v>
      </c>
      <c r="E46" s="7" t="n">
        <v>4619372.38</v>
      </c>
      <c r="F46" s="7" t="n">
        <v>3975433.84</v>
      </c>
      <c r="G46" s="7" t="n">
        <v>4477698.66</v>
      </c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8">
        <f>IF(COUNT(C46:R46)=0,"",SUM(C46:R46))</f>
        <v/>
      </c>
      <c r="T46" s="9">
        <f>IF(OR(C$9="",C46=""),"",C46/C$9)</f>
        <v/>
      </c>
      <c r="U46" s="9">
        <f>IF(OR(D$9="",D46=""),"",D46/D$9)</f>
        <v/>
      </c>
      <c r="V46" s="9">
        <f>IF(OR(E$9="",E46=""),"",E46/E$9)</f>
        <v/>
      </c>
      <c r="W46" s="9">
        <f>IF(OR(F$9="",F46=""),"",F46/F$9)</f>
        <v/>
      </c>
      <c r="X46" s="9">
        <f>IF(OR(G$9="",G46=""),"",G46/G$9)</f>
        <v/>
      </c>
      <c r="Y46" s="9">
        <f>IF(OR(H$9="",H46=""),"",H46/H$9)</f>
        <v/>
      </c>
      <c r="Z46" s="9">
        <f>IF(OR(I$9="",I46=""),"",I46/I$9)</f>
        <v/>
      </c>
      <c r="AA46" s="9">
        <f>IF(OR(J$9="",J46=""),"",J46/J$9)</f>
        <v/>
      </c>
      <c r="AB46" s="9">
        <f>IF(OR(K$9="",K46=""),"",K46/K$9)</f>
        <v/>
      </c>
      <c r="AC46" s="9">
        <f>IF(OR(L$9="",L46=""),"",L46/L$9)</f>
        <v/>
      </c>
      <c r="AD46" s="9">
        <f>IF(OR(M$9="",M46=""),"",M46/M$9)</f>
        <v/>
      </c>
      <c r="AE46" s="9">
        <f>IF(OR(N$9="",N46=""),"",N46/N$9)</f>
        <v/>
      </c>
      <c r="AF46" s="9">
        <f>IF(OR(O$9="",O46=""),"",O46/O$9)</f>
        <v/>
      </c>
      <c r="AG46" s="9">
        <f>IF(OR(P$9="",P46=""),"",P46/P$9)</f>
        <v/>
      </c>
      <c r="AH46" s="9">
        <f>IF(OR(Q$9="",Q46=""),"",Q46/Q$9)</f>
        <v/>
      </c>
      <c r="AI46" s="9">
        <f>IF(OR(R$9="",R46=""),"",R46/R$9)</f>
        <v/>
      </c>
    </row>
    <row r="47">
      <c r="A47" s="5" t="inlineStr">
        <is>
          <t xml:space="preserve">   Traveling Expense</t>
        </is>
      </c>
      <c r="B47" s="6" t="inlineStr">
        <is>
          <t>4.20</t>
        </is>
      </c>
      <c r="C47" s="7" t="n">
        <v>25650</v>
      </c>
      <c r="D47" s="7" t="n">
        <v>8841</v>
      </c>
      <c r="E47" s="7" t="n">
        <v>21521</v>
      </c>
      <c r="F47" s="7" t="n">
        <v>35182</v>
      </c>
      <c r="G47" s="7" t="n">
        <v>25047</v>
      </c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>
        <f>IF(COUNT(C47:R47)=0,"",SUM(C47:R47))</f>
        <v/>
      </c>
      <c r="T47" s="9">
        <f>IF(OR(C$9="",C47=""),"",C47/C$9)</f>
        <v/>
      </c>
      <c r="U47" s="9">
        <f>IF(OR(D$9="",D47=""),"",D47/D$9)</f>
        <v/>
      </c>
      <c r="V47" s="9">
        <f>IF(OR(E$9="",E47=""),"",E47/E$9)</f>
        <v/>
      </c>
      <c r="W47" s="9">
        <f>IF(OR(F$9="",F47=""),"",F47/F$9)</f>
        <v/>
      </c>
      <c r="X47" s="9">
        <f>IF(OR(G$9="",G47=""),"",G47/G$9)</f>
        <v/>
      </c>
      <c r="Y47" s="9">
        <f>IF(OR(H$9="",H47=""),"",H47/H$9)</f>
        <v/>
      </c>
      <c r="Z47" s="9">
        <f>IF(OR(I$9="",I47=""),"",I47/I$9)</f>
        <v/>
      </c>
      <c r="AA47" s="9">
        <f>IF(OR(J$9="",J47=""),"",J47/J$9)</f>
        <v/>
      </c>
      <c r="AB47" s="9">
        <f>IF(OR(K$9="",K47=""),"",K47/K$9)</f>
        <v/>
      </c>
      <c r="AC47" s="9">
        <f>IF(OR(L$9="",L47=""),"",L47/L$9)</f>
        <v/>
      </c>
      <c r="AD47" s="9">
        <f>IF(OR(M$9="",M47=""),"",M47/M$9)</f>
        <v/>
      </c>
      <c r="AE47" s="9">
        <f>IF(OR(N$9="",N47=""),"",N47/N$9)</f>
        <v/>
      </c>
      <c r="AF47" s="9">
        <f>IF(OR(O$9="",O47=""),"",O47/O$9)</f>
        <v/>
      </c>
      <c r="AG47" s="9">
        <f>IF(OR(P$9="",P47=""),"",P47/P$9)</f>
        <v/>
      </c>
      <c r="AH47" s="9">
        <f>IF(OR(Q$9="",Q47=""),"",Q47/Q$9)</f>
        <v/>
      </c>
      <c r="AI47" s="9">
        <f>IF(OR(R$9="",R47=""),"",R47/R$9)</f>
        <v/>
      </c>
    </row>
    <row r="48">
      <c r="A48" s="5" t="inlineStr">
        <is>
          <t xml:space="preserve">   Financial Costs</t>
        </is>
      </c>
      <c r="B48" s="6" t="inlineStr">
        <is>
          <t>4.22</t>
        </is>
      </c>
      <c r="C48" s="7" t="n">
        <v>171432</v>
      </c>
      <c r="D48" s="7" t="n">
        <v>308303</v>
      </c>
      <c r="E48" s="7" t="n">
        <v>63565.4</v>
      </c>
      <c r="F48" s="7" t="n">
        <v>41313.68</v>
      </c>
      <c r="G48" s="7" t="n">
        <v>59786.99</v>
      </c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8">
        <f>IF(COUNT(C48:R48)=0,"",SUM(C48:R48))</f>
        <v/>
      </c>
      <c r="T48" s="9">
        <f>IF(OR(C$9="",C48=""),"",C48/C$9)</f>
        <v/>
      </c>
      <c r="U48" s="9">
        <f>IF(OR(D$9="",D48=""),"",D48/D$9)</f>
        <v/>
      </c>
      <c r="V48" s="9">
        <f>IF(OR(E$9="",E48=""),"",E48/E$9)</f>
        <v/>
      </c>
      <c r="W48" s="9">
        <f>IF(OR(F$9="",F48=""),"",F48/F$9)</f>
        <v/>
      </c>
      <c r="X48" s="9">
        <f>IF(OR(G$9="",G48=""),"",G48/G$9)</f>
        <v/>
      </c>
      <c r="Y48" s="9">
        <f>IF(OR(H$9="",H48=""),"",H48/H$9)</f>
        <v/>
      </c>
      <c r="Z48" s="9">
        <f>IF(OR(I$9="",I48=""),"",I48/I$9)</f>
        <v/>
      </c>
      <c r="AA48" s="9">
        <f>IF(OR(J$9="",J48=""),"",J48/J$9)</f>
        <v/>
      </c>
      <c r="AB48" s="9">
        <f>IF(OR(K$9="",K48=""),"",K48/K$9)</f>
        <v/>
      </c>
      <c r="AC48" s="9">
        <f>IF(OR(L$9="",L48=""),"",L48/L$9)</f>
        <v/>
      </c>
      <c r="AD48" s="9">
        <f>IF(OR(M$9="",M48=""),"",M48/M$9)</f>
        <v/>
      </c>
      <c r="AE48" s="9">
        <f>IF(OR(N$9="",N48=""),"",N48/N$9)</f>
        <v/>
      </c>
      <c r="AF48" s="9">
        <f>IF(OR(O$9="",O48=""),"",O48/O$9)</f>
        <v/>
      </c>
      <c r="AG48" s="9">
        <f>IF(OR(P$9="",P48=""),"",P48/P$9)</f>
        <v/>
      </c>
      <c r="AH48" s="9">
        <f>IF(OR(Q$9="",Q48=""),"",Q48/Q$9)</f>
        <v/>
      </c>
      <c r="AI48" s="9">
        <f>IF(OR(R$9="",R48=""),"",R48/R$9)</f>
        <v/>
      </c>
    </row>
    <row r="49">
      <c r="A49" s="14" t="inlineStr">
        <is>
          <t>Total Administrative Expenses (Excl. Tax)</t>
        </is>
      </c>
      <c r="B49" s="15" t="inlineStr">
        <is>
          <t>4A</t>
        </is>
      </c>
      <c r="C49" s="16">
        <f>IF(COUNT(C37:C48)=0,"",SUM(C37:C48))</f>
        <v/>
      </c>
      <c r="D49" s="16">
        <f>IF(COUNT(D37:D48)=0,"",SUM(D37:D48))</f>
        <v/>
      </c>
      <c r="E49" s="16">
        <f>IF(COUNT(E37:E48)=0,"",SUM(E37:E48))</f>
        <v/>
      </c>
      <c r="F49" s="16">
        <f>IF(COUNT(F37:F48)=0,"",SUM(F37:F48))</f>
        <v/>
      </c>
      <c r="G49" s="16">
        <f>IF(COUNT(G37:G48)=0,"",SUM(G37:G48))</f>
        <v/>
      </c>
      <c r="H49" s="16">
        <f>IF(COUNT(H37:H48)=0,"",SUM(H37:H48))</f>
        <v/>
      </c>
      <c r="I49" s="16">
        <f>IF(COUNT(I37:I48)=0,"",SUM(I37:I48))</f>
        <v/>
      </c>
      <c r="J49" s="16">
        <f>IF(COUNT(J37:J48)=0,"",SUM(J37:J48))</f>
        <v/>
      </c>
      <c r="K49" s="16">
        <f>IF(COUNT(K37:K48)=0,"",SUM(K37:K48))</f>
        <v/>
      </c>
      <c r="L49" s="16">
        <f>IF(COUNT(L37:L48)=0,"",SUM(L37:L48))</f>
        <v/>
      </c>
      <c r="M49" s="16">
        <f>IF(COUNT(M37:M48)=0,"",SUM(M37:M48))</f>
        <v/>
      </c>
      <c r="N49" s="16">
        <f>IF(COUNT(N37:N48)=0,"",SUM(N37:N48))</f>
        <v/>
      </c>
      <c r="O49" s="16">
        <f>IF(COUNT(O37:O48)=0,"",SUM(O37:O48))</f>
        <v/>
      </c>
      <c r="P49" s="16">
        <f>IF(COUNT(P37:P48)=0,"",SUM(P37:P48))</f>
        <v/>
      </c>
      <c r="Q49" s="16">
        <f>IF(COUNT(Q37:Q48)=0,"",SUM(Q37:Q48))</f>
        <v/>
      </c>
      <c r="R49" s="16">
        <f>IF(COUNT(R37:R48)=0,"",SUM(R37:R48))</f>
        <v/>
      </c>
      <c r="S49" s="16">
        <f>IF(COUNT(C49:R49)=0,"",SUM(C49:R49))</f>
        <v/>
      </c>
      <c r="T49" s="17">
        <f>IF(OR(C$9="",C49=""),"",C49/C$9)</f>
        <v/>
      </c>
      <c r="U49" s="17">
        <f>IF(OR(D$9="",D49=""),"",D49/D$9)</f>
        <v/>
      </c>
      <c r="V49" s="17">
        <f>IF(OR(E$9="",E49=""),"",E49/E$9)</f>
        <v/>
      </c>
      <c r="W49" s="17">
        <f>IF(OR(F$9="",F49=""),"",F49/F$9)</f>
        <v/>
      </c>
      <c r="X49" s="17">
        <f>IF(OR(G$9="",G49=""),"",G49/G$9)</f>
        <v/>
      </c>
      <c r="Y49" s="17">
        <f>IF(OR(H$9="",H49=""),"",H49/H$9)</f>
        <v/>
      </c>
      <c r="Z49" s="17">
        <f>IF(OR(I$9="",I49=""),"",I49/I$9)</f>
        <v/>
      </c>
      <c r="AA49" s="17">
        <f>IF(OR(J$9="",J49=""),"",J49/J$9)</f>
        <v/>
      </c>
      <c r="AB49" s="17">
        <f>IF(OR(K$9="",K49=""),"",K49/K$9)</f>
        <v/>
      </c>
      <c r="AC49" s="17">
        <f>IF(OR(L$9="",L49=""),"",L49/L$9)</f>
        <v/>
      </c>
      <c r="AD49" s="17">
        <f>IF(OR(M$9="",M49=""),"",M49/M$9)</f>
        <v/>
      </c>
      <c r="AE49" s="17">
        <f>IF(OR(N$9="",N49=""),"",N49/N$9)</f>
        <v/>
      </c>
      <c r="AF49" s="17">
        <f>IF(OR(O$9="",O49=""),"",O49/O$9)</f>
        <v/>
      </c>
      <c r="AG49" s="17">
        <f>IF(OR(P$9="",P49=""),"",P49/P$9)</f>
        <v/>
      </c>
      <c r="AH49" s="17">
        <f>IF(OR(Q$9="",Q49=""),"",Q49/Q$9)</f>
        <v/>
      </c>
      <c r="AI49" s="17">
        <f>IF(OR(R$9="",R49=""),"",R49/R$9)</f>
        <v/>
      </c>
    </row>
    <row r="50"/>
    <row r="51">
      <c r="A51" s="4" t="inlineStr">
        <is>
          <t>TAX EXPENSE</t>
        </is>
      </c>
    </row>
    <row r="52">
      <c r="A52" s="5" t="inlineStr">
        <is>
          <t xml:space="preserve">   Tax Expenses</t>
        </is>
      </c>
      <c r="B52" s="6" t="inlineStr">
        <is>
          <t>4.21</t>
        </is>
      </c>
      <c r="C52" s="7" t="n">
        <v>4552807</v>
      </c>
      <c r="D52" s="7" t="n">
        <v>8447562</v>
      </c>
      <c r="E52" s="7" t="n">
        <v>8122899</v>
      </c>
      <c r="F52" s="7" t="n">
        <v>7865180.33</v>
      </c>
      <c r="G52" s="7" t="n">
        <v>9130913.34</v>
      </c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8">
        <f>IF(COUNT(C52:R52)=0,"",SUM(C52:R52))</f>
        <v/>
      </c>
      <c r="T52" s="9">
        <f>IF(OR(C$9="",C52=""),"",C52/C$9)</f>
        <v/>
      </c>
      <c r="U52" s="9">
        <f>IF(OR(D$9="",D52=""),"",D52/D$9)</f>
        <v/>
      </c>
      <c r="V52" s="9">
        <f>IF(OR(E$9="",E52=""),"",E52/E$9)</f>
        <v/>
      </c>
      <c r="W52" s="9">
        <f>IF(OR(F$9="",F52=""),"",F52/F$9)</f>
        <v/>
      </c>
      <c r="X52" s="9">
        <f>IF(OR(G$9="",G52=""),"",G52/G$9)</f>
        <v/>
      </c>
      <c r="Y52" s="9">
        <f>IF(OR(H$9="",H52=""),"",H52/H$9)</f>
        <v/>
      </c>
      <c r="Z52" s="9">
        <f>IF(OR(I$9="",I52=""),"",I52/I$9)</f>
        <v/>
      </c>
      <c r="AA52" s="9">
        <f>IF(OR(J$9="",J52=""),"",J52/J$9)</f>
        <v/>
      </c>
      <c r="AB52" s="9">
        <f>IF(OR(K$9="",K52=""),"",K52/K$9)</f>
        <v/>
      </c>
      <c r="AC52" s="9">
        <f>IF(OR(L$9="",L52=""),"",L52/L$9)</f>
        <v/>
      </c>
      <c r="AD52" s="9">
        <f>IF(OR(M$9="",M52=""),"",M52/M$9)</f>
        <v/>
      </c>
      <c r="AE52" s="9">
        <f>IF(OR(N$9="",N52=""),"",N52/N$9)</f>
        <v/>
      </c>
      <c r="AF52" s="9">
        <f>IF(OR(O$9="",O52=""),"",O52/O$9)</f>
        <v/>
      </c>
      <c r="AG52" s="9">
        <f>IF(OR(P$9="",P52=""),"",P52/P$9)</f>
        <v/>
      </c>
      <c r="AH52" s="9">
        <f>IF(OR(Q$9="",Q52=""),"",Q52/Q$9)</f>
        <v/>
      </c>
      <c r="AI52" s="9">
        <f>IF(OR(R$9="",R52=""),"",R52/R$9)</f>
        <v/>
      </c>
    </row>
    <row r="53">
      <c r="A53" s="14" t="inlineStr">
        <is>
          <t>Total Tax Expense</t>
        </is>
      </c>
      <c r="B53" s="15" t="inlineStr">
        <is>
          <t>4B</t>
        </is>
      </c>
      <c r="C53" s="16">
        <f>IF(COUNT(C52:C52)=0,"",SUM(C52:C52))</f>
        <v/>
      </c>
      <c r="D53" s="16">
        <f>IF(COUNT(D52:D52)=0,"",SUM(D52:D52))</f>
        <v/>
      </c>
      <c r="E53" s="16">
        <f>IF(COUNT(E52:E52)=0,"",SUM(E52:E52))</f>
        <v/>
      </c>
      <c r="F53" s="16">
        <f>IF(COUNT(F52:F52)=0,"",SUM(F52:F52))</f>
        <v/>
      </c>
      <c r="G53" s="16">
        <f>IF(COUNT(G52:G52)=0,"",SUM(G52:G52))</f>
        <v/>
      </c>
      <c r="H53" s="16">
        <f>IF(COUNT(H52:H52)=0,"",SUM(H52:H52))</f>
        <v/>
      </c>
      <c r="I53" s="16">
        <f>IF(COUNT(I52:I52)=0,"",SUM(I52:I52))</f>
        <v/>
      </c>
      <c r="J53" s="16">
        <f>IF(COUNT(J52:J52)=0,"",SUM(J52:J52))</f>
        <v/>
      </c>
      <c r="K53" s="16">
        <f>IF(COUNT(K52:K52)=0,"",SUM(K52:K52))</f>
        <v/>
      </c>
      <c r="L53" s="16">
        <f>IF(COUNT(L52:L52)=0,"",SUM(L52:L52))</f>
        <v/>
      </c>
      <c r="M53" s="16">
        <f>IF(COUNT(M52:M52)=0,"",SUM(M52:M52))</f>
        <v/>
      </c>
      <c r="N53" s="16">
        <f>IF(COUNT(N52:N52)=0,"",SUM(N52:N52))</f>
        <v/>
      </c>
      <c r="O53" s="16">
        <f>IF(COUNT(O52:O52)=0,"",SUM(O52:O52))</f>
        <v/>
      </c>
      <c r="P53" s="16">
        <f>IF(COUNT(P52:P52)=0,"",SUM(P52:P52))</f>
        <v/>
      </c>
      <c r="Q53" s="16">
        <f>IF(COUNT(Q52:Q52)=0,"",SUM(Q52:Q52))</f>
        <v/>
      </c>
      <c r="R53" s="16">
        <f>IF(COUNT(R52:R52)=0,"",SUM(R52:R52))</f>
        <v/>
      </c>
      <c r="S53" s="16">
        <f>IF(COUNT(C53:R53)=0,"",SUM(C53:R53))</f>
        <v/>
      </c>
      <c r="T53" s="17">
        <f>IF(OR(C$9="",C53=""),"",C53/C$9)</f>
        <v/>
      </c>
      <c r="U53" s="17">
        <f>IF(OR(D$9="",D53=""),"",D53/D$9)</f>
        <v/>
      </c>
      <c r="V53" s="17">
        <f>IF(OR(E$9="",E53=""),"",E53/E$9)</f>
        <v/>
      </c>
      <c r="W53" s="17">
        <f>IF(OR(F$9="",F53=""),"",F53/F$9)</f>
        <v/>
      </c>
      <c r="X53" s="17">
        <f>IF(OR(G$9="",G53=""),"",G53/G$9)</f>
        <v/>
      </c>
      <c r="Y53" s="17">
        <f>IF(OR(H$9="",H53=""),"",H53/H$9)</f>
        <v/>
      </c>
      <c r="Z53" s="17">
        <f>IF(OR(I$9="",I53=""),"",I53/I$9)</f>
        <v/>
      </c>
      <c r="AA53" s="17">
        <f>IF(OR(J$9="",J53=""),"",J53/J$9)</f>
        <v/>
      </c>
      <c r="AB53" s="17">
        <f>IF(OR(K$9="",K53=""),"",K53/K$9)</f>
        <v/>
      </c>
      <c r="AC53" s="17">
        <f>IF(OR(L$9="",L53=""),"",L53/L$9)</f>
        <v/>
      </c>
      <c r="AD53" s="17">
        <f>IF(OR(M$9="",M53=""),"",M53/M$9)</f>
        <v/>
      </c>
      <c r="AE53" s="17">
        <f>IF(OR(N$9="",N53=""),"",N53/N$9)</f>
        <v/>
      </c>
      <c r="AF53" s="17">
        <f>IF(OR(O$9="",O53=""),"",O53/O$9)</f>
        <v/>
      </c>
      <c r="AG53" s="17">
        <f>IF(OR(P$9="",P53=""),"",P53/P$9)</f>
        <v/>
      </c>
      <c r="AH53" s="17">
        <f>IF(OR(Q$9="",Q53=""),"",Q53/Q$9)</f>
        <v/>
      </c>
      <c r="AI53" s="17">
        <f>IF(OR(R$9="",R53=""),"",R53/R$9)</f>
        <v/>
      </c>
    </row>
    <row r="54"/>
    <row r="55">
      <c r="A55" s="10" t="inlineStr">
        <is>
          <t>NET PROFIT</t>
        </is>
      </c>
      <c r="B55" s="11" t="inlineStr">
        <is>
          <t>5</t>
        </is>
      </c>
      <c r="C55" s="12">
        <f>IF(C9="","",C22-C34-C49-C53)</f>
        <v/>
      </c>
      <c r="D55" s="12">
        <f>IF(D9="","",D22-D34-D49-D53)</f>
        <v/>
      </c>
      <c r="E55" s="12">
        <f>IF(E9="","",E22-E34-E49-E53)</f>
        <v/>
      </c>
      <c r="F55" s="12">
        <f>IF(F9="","",F22-F34-F49-F53)</f>
        <v/>
      </c>
      <c r="G55" s="12">
        <f>IF(G9="","",G22-G34-G49-G53)</f>
        <v/>
      </c>
      <c r="H55" s="12">
        <f>IF(H9="","",H22-H34-H49-H53)</f>
        <v/>
      </c>
      <c r="I55" s="12">
        <f>IF(I9="","",I22-I34-I49-I53)</f>
        <v/>
      </c>
      <c r="J55" s="12">
        <f>IF(J9="","",J22-J34-J49-J53)</f>
        <v/>
      </c>
      <c r="K55" s="12">
        <f>IF(K9="","",K22-K34-K49-K53)</f>
        <v/>
      </c>
      <c r="L55" s="12">
        <f>IF(L9="","",L22-L34-L49-L53)</f>
        <v/>
      </c>
      <c r="M55" s="12">
        <f>IF(M9="","",M22-M34-M49-M53)</f>
        <v/>
      </c>
      <c r="N55" s="12">
        <f>IF(N9="","",N22-N34-N49-N53)</f>
        <v/>
      </c>
      <c r="O55" s="12">
        <f>IF(O9="","",O22-O34-O49-O53)</f>
        <v/>
      </c>
      <c r="P55" s="12">
        <f>IF(P9="","",P22-P34-P49-P53)</f>
        <v/>
      </c>
      <c r="Q55" s="12">
        <f>IF(Q9="","",Q22-Q34-Q49-Q53)</f>
        <v/>
      </c>
      <c r="R55" s="12">
        <f>IF(R9="","",R22-R34-R49-R53)</f>
        <v/>
      </c>
      <c r="S55" s="12">
        <f>IF(COUNT(C55:R55)=0,"",SUM(C55:R55))</f>
        <v/>
      </c>
      <c r="T55" s="13">
        <f>IF(OR(C$9="",C55=""),"",C55/C$9)</f>
        <v/>
      </c>
      <c r="U55" s="13">
        <f>IF(OR(D$9="",D55=""),"",D55/D$9)</f>
        <v/>
      </c>
      <c r="V55" s="13">
        <f>IF(OR(E$9="",E55=""),"",E55/E$9)</f>
        <v/>
      </c>
      <c r="W55" s="13">
        <f>IF(OR(F$9="",F55=""),"",F55/F$9)</f>
        <v/>
      </c>
      <c r="X55" s="13">
        <f>IF(OR(G$9="",G55=""),"",G55/G$9)</f>
        <v/>
      </c>
      <c r="Y55" s="13">
        <f>IF(OR(H$9="",H55=""),"",H55/H$9)</f>
        <v/>
      </c>
      <c r="Z55" s="13">
        <f>IF(OR(I$9="",I55=""),"",I55/I$9)</f>
        <v/>
      </c>
      <c r="AA55" s="13">
        <f>IF(OR(J$9="",J55=""),"",J55/J$9)</f>
        <v/>
      </c>
      <c r="AB55" s="13">
        <f>IF(OR(K$9="",K55=""),"",K55/K$9)</f>
        <v/>
      </c>
      <c r="AC55" s="13">
        <f>IF(OR(L$9="",L55=""),"",L55/L$9)</f>
        <v/>
      </c>
      <c r="AD55" s="13">
        <f>IF(OR(M$9="",M55=""),"",M55/M$9)</f>
        <v/>
      </c>
      <c r="AE55" s="13">
        <f>IF(OR(N$9="",N55=""),"",N55/N$9)</f>
        <v/>
      </c>
      <c r="AF55" s="13">
        <f>IF(OR(O$9="",O55=""),"",O55/O$9)</f>
        <v/>
      </c>
      <c r="AG55" s="13">
        <f>IF(OR(P$9="",P55=""),"",P55/P$9)</f>
        <v/>
      </c>
      <c r="AH55" s="13">
        <f>IF(OR(Q$9="",Q55=""),"",Q55/Q$9)</f>
        <v/>
      </c>
      <c r="AI55" s="13">
        <f>IF(OR(R$9="",R55=""),"",R55/R$9)</f>
        <v/>
      </c>
    </row>
    <row r="56">
      <c r="A56" s="18" t="inlineStr">
        <is>
          <t>Imarat Share (50%)</t>
        </is>
      </c>
      <c r="B56" s="19" t="inlineStr">
        <is>
          <t>6</t>
        </is>
      </c>
      <c r="C56" s="20">
        <f>IF(C55="","",C55*0.5)</f>
        <v/>
      </c>
      <c r="D56" s="20">
        <f>IF(D55="","",D55*0.5)</f>
        <v/>
      </c>
      <c r="E56" s="20">
        <f>IF(E55="","",E55*0.5)</f>
        <v/>
      </c>
      <c r="F56" s="20">
        <f>IF(F55="","",F55*0.5)</f>
        <v/>
      </c>
      <c r="G56" s="20">
        <f>IF(G55="","",G55*0.5)</f>
        <v/>
      </c>
      <c r="H56" s="20">
        <f>IF(H55="","",H55*0.5)</f>
        <v/>
      </c>
      <c r="I56" s="20">
        <f>IF(I55="","",I55*0.5)</f>
        <v/>
      </c>
      <c r="J56" s="20">
        <f>IF(J55="","",J55*0.5)</f>
        <v/>
      </c>
      <c r="K56" s="20">
        <f>IF(K55="","",K55*0.5)</f>
        <v/>
      </c>
      <c r="L56" s="20">
        <f>IF(L55="","",L55*0.5)</f>
        <v/>
      </c>
      <c r="M56" s="20">
        <f>IF(M55="","",M55*0.5)</f>
        <v/>
      </c>
      <c r="N56" s="20">
        <f>IF(N55="","",N55*0.5)</f>
        <v/>
      </c>
      <c r="O56" s="20">
        <f>IF(O55="","",O55*0.5)</f>
        <v/>
      </c>
      <c r="P56" s="20">
        <f>IF(P55="","",P55*0.5)</f>
        <v/>
      </c>
      <c r="Q56" s="20">
        <f>IF(Q55="","",Q55*0.5)</f>
        <v/>
      </c>
      <c r="R56" s="20">
        <f>IF(R55="","",R55*0.5)</f>
        <v/>
      </c>
      <c r="S56" s="20">
        <f>IF(COUNT(C56:R56)=0,"",SUM(C56:R56))</f>
        <v/>
      </c>
      <c r="T56" s="21">
        <f>IF(OR(C$9="",C56=""),"",C56/C$9)</f>
        <v/>
      </c>
      <c r="U56" s="21">
        <f>IF(OR(D$9="",D56=""),"",D56/D$9)</f>
        <v/>
      </c>
      <c r="V56" s="21">
        <f>IF(OR(E$9="",E56=""),"",E56/E$9)</f>
        <v/>
      </c>
      <c r="W56" s="21">
        <f>IF(OR(F$9="",F56=""),"",F56/F$9)</f>
        <v/>
      </c>
      <c r="X56" s="21">
        <f>IF(OR(G$9="",G56=""),"",G56/G$9)</f>
        <v/>
      </c>
      <c r="Y56" s="21">
        <f>IF(OR(H$9="",H56=""),"",H56/H$9)</f>
        <v/>
      </c>
      <c r="Z56" s="21">
        <f>IF(OR(I$9="",I56=""),"",I56/I$9)</f>
        <v/>
      </c>
      <c r="AA56" s="21">
        <f>IF(OR(J$9="",J56=""),"",J56/J$9)</f>
        <v/>
      </c>
      <c r="AB56" s="21">
        <f>IF(OR(K$9="",K56=""),"",K56/K$9)</f>
        <v/>
      </c>
      <c r="AC56" s="21">
        <f>IF(OR(L$9="",L56=""),"",L56/L$9)</f>
        <v/>
      </c>
      <c r="AD56" s="21">
        <f>IF(OR(M$9="",M56=""),"",M56/M$9)</f>
        <v/>
      </c>
      <c r="AE56" s="21">
        <f>IF(OR(N$9="",N56=""),"",N56/N$9)</f>
        <v/>
      </c>
      <c r="AF56" s="21">
        <f>IF(OR(O$9="",O56=""),"",O56/O$9)</f>
        <v/>
      </c>
      <c r="AG56" s="21">
        <f>IF(OR(P$9="",P56=""),"",P56/P$9)</f>
        <v/>
      </c>
      <c r="AH56" s="21">
        <f>IF(OR(Q$9="",Q56=""),"",Q56/Q$9)</f>
        <v/>
      </c>
      <c r="AI56" s="21">
        <f>IF(OR(R$9="",R56=""),"",R56/R$9)</f>
        <v/>
      </c>
    </row>
    <row r="59">
      <c r="A59" s="22" t="inlineStr">
        <is>
          <t>How to use this sheet</t>
        </is>
      </c>
    </row>
    <row r="60">
      <c r="A60" s="23" t="inlineStr">
        <is>
          <t>• Type actuals only into the BLUE cells. Every bold row is a formula — do not overwrite it.</t>
        </is>
      </c>
    </row>
    <row r="61">
      <c r="A61" s="23" t="inlineStr">
        <is>
          <t>• Adding a month: the 16 columns Mar-26 to Jun-27 already exist. Just type into the month you are reporting.</t>
        </is>
      </c>
    </row>
    <row r="62">
      <c r="A62" s="23" t="inlineStr">
        <is>
          <t>• Leave a future month completely blank. A zero is data and will be charted as zero.</t>
        </is>
      </c>
    </row>
    <row r="63">
      <c r="A63" s="23" t="inlineStr">
        <is>
          <t>• Ref numbers drive the dashboard. 4A is admin excluding tax, 4B is tax, 5 is net profit, 6 is the partner share.</t>
        </is>
      </c>
    </row>
    <row r="64">
      <c r="A64" s="23" t="inlineStr">
        <is>
          <t>• Do not insert columns between the months and the Total column.</t>
        </is>
      </c>
    </row>
    <row r="65">
      <c r="A65" s="23" t="inlineStr">
        <is>
          <t>• Source of the Mar-26 to Jul-26 figures: Uploader_file_for_dashboardM.xlsx, supplied by the user.</t>
        </is>
      </c>
    </row>
  </sheetData>
  <mergeCells count="6">
    <mergeCell ref="A11:S11"/>
    <mergeCell ref="A51:S51"/>
    <mergeCell ref="A36:S36"/>
    <mergeCell ref="A1:S1"/>
    <mergeCell ref="A4:S4"/>
    <mergeCell ref="A24:S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2026-09-07T08:10:11Z</dcterms:created>
  <dcterms:modified xsi:type="dcterms:W3CDTF">2026-09-07T08:10:11Z</dcterms:modified>
</cp:coreProperties>
</file>